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e501330026e27/Documentos/Joaquin/Siemens/Tercer año/Química/Resumenes/"/>
    </mc:Choice>
  </mc:AlternateContent>
  <xr:revisionPtr revIDLastSave="100" documentId="8_{10BB8C67-9F6F-4D47-82BE-358F36991BFB}" xr6:coauthVersionLast="47" xr6:coauthVersionMax="47" xr10:uidLastSave="{4A72C446-3399-4EEA-BBF1-225517C551AC}"/>
  <bookViews>
    <workbookView xWindow="-120" yWindow="-120" windowWidth="25440" windowHeight="15390" xr2:uid="{7DC75F74-7260-4EEC-B50D-66CDFC56B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2" i="1"/>
  <c r="E122" i="1"/>
  <c r="G122" i="1"/>
  <c r="E121" i="1"/>
  <c r="G121" i="1"/>
  <c r="E120" i="1"/>
  <c r="G120" i="1"/>
  <c r="E57" i="1"/>
  <c r="F57" i="1"/>
  <c r="G57" i="1"/>
  <c r="E22" i="1"/>
  <c r="F22" i="1"/>
  <c r="G22" i="1"/>
  <c r="F8" i="1"/>
  <c r="G8" i="1"/>
  <c r="F111" i="1"/>
  <c r="G111" i="1"/>
  <c r="E8" i="1"/>
  <c r="E111" i="1"/>
  <c r="E14" i="1"/>
  <c r="F14" i="1"/>
  <c r="G14" i="1"/>
  <c r="E96" i="1"/>
  <c r="F96" i="1"/>
  <c r="G96" i="1"/>
  <c r="E52" i="1"/>
  <c r="F52" i="1"/>
  <c r="G52" i="1"/>
  <c r="E19" i="1"/>
  <c r="F19" i="1"/>
  <c r="G19" i="1"/>
  <c r="E34" i="1"/>
  <c r="F34" i="1"/>
  <c r="G34" i="1"/>
  <c r="E86" i="1"/>
  <c r="F86" i="1"/>
  <c r="G86" i="1"/>
  <c r="E17" i="1"/>
  <c r="F17" i="1"/>
  <c r="G17" i="1"/>
  <c r="E37" i="1"/>
  <c r="F37" i="1"/>
  <c r="G37" i="1"/>
  <c r="E5" i="1"/>
  <c r="F5" i="1"/>
  <c r="G5" i="1"/>
  <c r="E98" i="1"/>
  <c r="F98" i="1"/>
  <c r="G98" i="1"/>
  <c r="E84" i="1"/>
  <c r="F84" i="1"/>
  <c r="G84" i="1"/>
  <c r="E108" i="1"/>
  <c r="F108" i="1"/>
  <c r="G108" i="1"/>
  <c r="E6" i="1"/>
  <c r="F6" i="1"/>
  <c r="G6" i="1"/>
  <c r="E36" i="1"/>
  <c r="F36" i="1"/>
  <c r="G36" i="1"/>
  <c r="E49" i="1"/>
  <c r="F49" i="1"/>
  <c r="G49" i="1"/>
  <c r="E21" i="1"/>
  <c r="F21" i="1"/>
  <c r="G21" i="1"/>
  <c r="E99" i="1"/>
  <c r="F99" i="1"/>
  <c r="G99" i="1"/>
  <c r="E7" i="1"/>
  <c r="F7" i="1"/>
  <c r="G7" i="1"/>
  <c r="E59" i="1"/>
  <c r="F59" i="1"/>
  <c r="G59" i="1"/>
  <c r="E56" i="1"/>
  <c r="F56" i="1"/>
  <c r="G56" i="1"/>
  <c r="E18" i="1"/>
  <c r="F18" i="1"/>
  <c r="G18" i="1"/>
  <c r="E28" i="1"/>
  <c r="F28" i="1"/>
  <c r="G28" i="1"/>
  <c r="E30" i="1"/>
  <c r="F30" i="1"/>
  <c r="G30" i="1"/>
  <c r="E112" i="1"/>
  <c r="F112" i="1"/>
  <c r="G112" i="1"/>
  <c r="E25" i="1"/>
  <c r="F25" i="1"/>
  <c r="G25" i="1"/>
  <c r="E97" i="1"/>
  <c r="F97" i="1"/>
  <c r="G97" i="1"/>
  <c r="E113" i="1"/>
  <c r="F113" i="1"/>
  <c r="G113" i="1"/>
  <c r="E67" i="1"/>
  <c r="F67" i="1"/>
  <c r="G67" i="1"/>
  <c r="E106" i="1"/>
  <c r="F106" i="1"/>
  <c r="G106" i="1"/>
  <c r="E114" i="1"/>
  <c r="G114" i="1"/>
  <c r="E100" i="1"/>
  <c r="F100" i="1"/>
  <c r="G100" i="1"/>
  <c r="E69" i="1"/>
  <c r="F69" i="1"/>
  <c r="G69" i="1"/>
  <c r="E51" i="1"/>
  <c r="F51" i="1"/>
  <c r="G51" i="1"/>
  <c r="E39" i="1"/>
  <c r="F39" i="1"/>
  <c r="G39" i="1"/>
  <c r="E64" i="1"/>
  <c r="F64" i="1"/>
  <c r="G64" i="1"/>
  <c r="E101" i="1"/>
  <c r="F101" i="1"/>
  <c r="G101" i="1"/>
  <c r="E115" i="1"/>
  <c r="F115" i="1"/>
  <c r="G115" i="1"/>
  <c r="E10" i="1"/>
  <c r="F10" i="1"/>
  <c r="G10" i="1"/>
  <c r="E16" i="1"/>
  <c r="F16" i="1"/>
  <c r="G16" i="1"/>
  <c r="E88" i="1"/>
  <c r="F88" i="1"/>
  <c r="G88" i="1"/>
  <c r="E65" i="1"/>
  <c r="F65" i="1"/>
  <c r="G65" i="1"/>
  <c r="E32" i="1"/>
  <c r="F32" i="1"/>
  <c r="G32" i="1"/>
  <c r="E33" i="1"/>
  <c r="F33" i="1"/>
  <c r="G33" i="1"/>
  <c r="E73" i="1"/>
  <c r="F73" i="1"/>
  <c r="G73" i="1"/>
  <c r="E109" i="1"/>
  <c r="F109" i="1"/>
  <c r="G109" i="1"/>
  <c r="E3" i="1"/>
  <c r="F3" i="1"/>
  <c r="G3" i="1"/>
  <c r="E2" i="1"/>
  <c r="F2" i="1"/>
  <c r="G2" i="1"/>
  <c r="E27" i="1"/>
  <c r="F27" i="1"/>
  <c r="G27" i="1"/>
  <c r="E68" i="1"/>
  <c r="F68" i="1"/>
  <c r="G68" i="1"/>
  <c r="E50" i="1"/>
  <c r="F50" i="1"/>
  <c r="G50" i="1"/>
  <c r="E54" i="1"/>
  <c r="F54" i="1"/>
  <c r="G54" i="1"/>
  <c r="E78" i="1"/>
  <c r="F78" i="1"/>
  <c r="G78" i="1"/>
  <c r="E71" i="1"/>
  <c r="F71" i="1"/>
  <c r="G71" i="1"/>
  <c r="E40" i="1"/>
  <c r="F40" i="1"/>
  <c r="G40" i="1"/>
  <c r="E116" i="1"/>
  <c r="G116" i="1"/>
  <c r="E58" i="1"/>
  <c r="F58" i="1"/>
  <c r="G58" i="1"/>
  <c r="E104" i="1"/>
  <c r="F104" i="1"/>
  <c r="G104" i="1"/>
  <c r="E4" i="1"/>
  <c r="F4" i="1"/>
  <c r="G4" i="1"/>
  <c r="E117" i="1"/>
  <c r="F117" i="1"/>
  <c r="G117" i="1"/>
  <c r="E72" i="1"/>
  <c r="F72" i="1"/>
  <c r="G72" i="1"/>
  <c r="E13" i="1"/>
  <c r="F13" i="1"/>
  <c r="G13" i="1"/>
  <c r="E26" i="1"/>
  <c r="F26" i="1"/>
  <c r="G26" i="1"/>
  <c r="E110" i="1"/>
  <c r="F110" i="1"/>
  <c r="G110" i="1"/>
  <c r="E102" i="1"/>
  <c r="F102" i="1"/>
  <c r="G102" i="1"/>
  <c r="E81" i="1"/>
  <c r="F81" i="1"/>
  <c r="G81" i="1"/>
  <c r="E43" i="1"/>
  <c r="F43" i="1"/>
  <c r="G43" i="1"/>
  <c r="E118" i="1"/>
  <c r="G118" i="1"/>
  <c r="E61" i="1"/>
  <c r="F61" i="1"/>
  <c r="G61" i="1"/>
  <c r="E11" i="1"/>
  <c r="F11" i="1"/>
  <c r="G11" i="1"/>
  <c r="E94" i="1"/>
  <c r="F94" i="1"/>
  <c r="G94" i="1"/>
  <c r="E42" i="1"/>
  <c r="F42" i="1"/>
  <c r="G42" i="1"/>
  <c r="E29" i="1"/>
  <c r="F29" i="1"/>
  <c r="G29" i="1"/>
  <c r="E103" i="1"/>
  <c r="F103" i="1"/>
  <c r="G103" i="1"/>
  <c r="E119" i="1"/>
  <c r="F119" i="1"/>
  <c r="G119" i="1"/>
  <c r="E80" i="1"/>
  <c r="F80" i="1"/>
  <c r="G80" i="1"/>
  <c r="E77" i="1"/>
  <c r="F77" i="1"/>
  <c r="G77" i="1"/>
  <c r="E9" i="1"/>
  <c r="F9" i="1"/>
  <c r="G9" i="1"/>
  <c r="E47" i="1"/>
  <c r="F47" i="1"/>
  <c r="G47" i="1"/>
  <c r="E48" i="1"/>
  <c r="F48" i="1"/>
  <c r="G48" i="1"/>
  <c r="E79" i="1"/>
  <c r="F79" i="1"/>
  <c r="G79" i="1"/>
  <c r="E83" i="1"/>
  <c r="F83" i="1"/>
  <c r="G83" i="1"/>
  <c r="E95" i="1"/>
  <c r="F95" i="1"/>
  <c r="G95" i="1"/>
  <c r="E85" i="1"/>
  <c r="F85" i="1"/>
  <c r="G85" i="1"/>
  <c r="E20" i="1"/>
  <c r="F20" i="1"/>
  <c r="G20" i="1"/>
  <c r="E60" i="1"/>
  <c r="F60" i="1"/>
  <c r="G60" i="1"/>
  <c r="E62" i="1"/>
  <c r="F62" i="1"/>
  <c r="G62" i="1"/>
  <c r="E92" i="1"/>
  <c r="F92" i="1"/>
  <c r="G92" i="1"/>
  <c r="E89" i="1"/>
  <c r="F89" i="1"/>
  <c r="G89" i="1"/>
  <c r="E87" i="1"/>
  <c r="F87" i="1"/>
  <c r="G87" i="1"/>
  <c r="E76" i="1"/>
  <c r="F76" i="1"/>
  <c r="G76" i="1"/>
  <c r="E46" i="1"/>
  <c r="F46" i="1"/>
  <c r="G46" i="1"/>
  <c r="E38" i="1"/>
  <c r="F38" i="1"/>
  <c r="G38" i="1"/>
  <c r="E45" i="1"/>
  <c r="F45" i="1"/>
  <c r="G45" i="1"/>
  <c r="E105" i="1"/>
  <c r="F105" i="1"/>
  <c r="G105" i="1"/>
  <c r="E63" i="1"/>
  <c r="F63" i="1"/>
  <c r="G63" i="1"/>
  <c r="E107" i="1"/>
  <c r="F107" i="1"/>
  <c r="G107" i="1"/>
  <c r="E35" i="1"/>
  <c r="F35" i="1"/>
  <c r="G35" i="1"/>
  <c r="E15" i="1"/>
  <c r="F15" i="1"/>
  <c r="G15" i="1"/>
  <c r="E12" i="1"/>
  <c r="F12" i="1"/>
  <c r="G12" i="1"/>
  <c r="E82" i="1"/>
  <c r="F82" i="1"/>
  <c r="G82" i="1"/>
  <c r="E74" i="1"/>
  <c r="F74" i="1"/>
  <c r="G74" i="1"/>
  <c r="E44" i="1"/>
  <c r="F44" i="1"/>
  <c r="G44" i="1"/>
  <c r="E53" i="1"/>
  <c r="F53" i="1"/>
  <c r="G53" i="1"/>
  <c r="E66" i="1"/>
  <c r="F66" i="1"/>
  <c r="G66" i="1"/>
  <c r="E23" i="1"/>
  <c r="F23" i="1"/>
  <c r="G23" i="1"/>
  <c r="E91" i="1"/>
  <c r="F91" i="1"/>
  <c r="G91" i="1"/>
  <c r="E70" i="1"/>
  <c r="F70" i="1"/>
  <c r="G70" i="1"/>
  <c r="E93" i="1"/>
  <c r="F93" i="1"/>
  <c r="G93" i="1"/>
  <c r="E24" i="1"/>
  <c r="F24" i="1"/>
  <c r="G24" i="1"/>
  <c r="E75" i="1"/>
  <c r="F75" i="1"/>
  <c r="G75" i="1"/>
  <c r="E55" i="1"/>
  <c r="F55" i="1"/>
  <c r="G55" i="1"/>
  <c r="E31" i="1"/>
  <c r="F31" i="1"/>
  <c r="G31" i="1"/>
  <c r="E41" i="1"/>
  <c r="F41" i="1"/>
  <c r="G41" i="1"/>
  <c r="F90" i="1"/>
  <c r="G90" i="1"/>
  <c r="E90" i="1"/>
</calcChain>
</file>

<file path=xl/sharedStrings.xml><?xml version="1.0" encoding="utf-8"?>
<sst xmlns="http://schemas.openxmlformats.org/spreadsheetml/2006/main" count="614" uniqueCount="259">
  <si>
    <t>Elemento</t>
  </si>
  <si>
    <t>A</t>
  </si>
  <si>
    <t>Z</t>
  </si>
  <si>
    <t>P (+)</t>
  </si>
  <si>
    <t>N</t>
  </si>
  <si>
    <t>e (-)</t>
  </si>
  <si>
    <t>Estado</t>
  </si>
  <si>
    <t>Ac</t>
  </si>
  <si>
    <t>Aluminio</t>
  </si>
  <si>
    <t>Al</t>
  </si>
  <si>
    <t>Americio</t>
  </si>
  <si>
    <t>Am</t>
  </si>
  <si>
    <t>Antimonio</t>
  </si>
  <si>
    <t>Sb</t>
  </si>
  <si>
    <t>Argón</t>
  </si>
  <si>
    <t>Ar</t>
  </si>
  <si>
    <t>Arsénico</t>
  </si>
  <si>
    <t>As</t>
  </si>
  <si>
    <t>Ástato</t>
  </si>
  <si>
    <t>At</t>
  </si>
  <si>
    <t>Azufre</t>
  </si>
  <si>
    <t>S</t>
  </si>
  <si>
    <t>Bario</t>
  </si>
  <si>
    <t>Ba</t>
  </si>
  <si>
    <t>Berilio</t>
  </si>
  <si>
    <t>Be</t>
  </si>
  <si>
    <t>Berkelio</t>
  </si>
  <si>
    <t>Bk</t>
  </si>
  <si>
    <t>Bismuto</t>
  </si>
  <si>
    <t>Bi</t>
  </si>
  <si>
    <t>Bohrio</t>
  </si>
  <si>
    <t>Bh</t>
  </si>
  <si>
    <t>Boro</t>
  </si>
  <si>
    <t>B</t>
  </si>
  <si>
    <t>Bromo</t>
  </si>
  <si>
    <t>Br</t>
  </si>
  <si>
    <t>Cadmio</t>
  </si>
  <si>
    <t>Cd</t>
  </si>
  <si>
    <t>Calcio</t>
  </si>
  <si>
    <t>Ca</t>
  </si>
  <si>
    <t>Californio</t>
  </si>
  <si>
    <t>Cf</t>
  </si>
  <si>
    <t>Carbono</t>
  </si>
  <si>
    <t>C</t>
  </si>
  <si>
    <t>Cerio</t>
  </si>
  <si>
    <t>Ce</t>
  </si>
  <si>
    <t>Cesio</t>
  </si>
  <si>
    <t>Cs</t>
  </si>
  <si>
    <t>Cloro</t>
  </si>
  <si>
    <t>Cl</t>
  </si>
  <si>
    <t>Cobalto</t>
  </si>
  <si>
    <t>Co</t>
  </si>
  <si>
    <t>Cobre</t>
  </si>
  <si>
    <t>Cu</t>
  </si>
  <si>
    <t>Cromo</t>
  </si>
  <si>
    <t>Cr</t>
  </si>
  <si>
    <t>Curio</t>
  </si>
  <si>
    <t>Cm</t>
  </si>
  <si>
    <t>Disprosio</t>
  </si>
  <si>
    <t>Dy</t>
  </si>
  <si>
    <t>Dubnio</t>
  </si>
  <si>
    <t>Db</t>
  </si>
  <si>
    <t>Erbio</t>
  </si>
  <si>
    <t>Er</t>
  </si>
  <si>
    <t>Escandio</t>
  </si>
  <si>
    <t>Sc</t>
  </si>
  <si>
    <t>Estaño</t>
  </si>
  <si>
    <t>Sn</t>
  </si>
  <si>
    <t>Estroncio</t>
  </si>
  <si>
    <t>Sr</t>
  </si>
  <si>
    <t>Europio</t>
  </si>
  <si>
    <t>Eu</t>
  </si>
  <si>
    <t>Fermio</t>
  </si>
  <si>
    <t>Fm</t>
  </si>
  <si>
    <t>Fluor</t>
  </si>
  <si>
    <t>F</t>
  </si>
  <si>
    <t>Fósforo</t>
  </si>
  <si>
    <t>P</t>
  </si>
  <si>
    <t>Francio</t>
  </si>
  <si>
    <t>Fr</t>
  </si>
  <si>
    <t>Gadolinio</t>
  </si>
  <si>
    <t>Gd</t>
  </si>
  <si>
    <t>Galio</t>
  </si>
  <si>
    <t>Ga</t>
  </si>
  <si>
    <t>Germanio</t>
  </si>
  <si>
    <t>Ge</t>
  </si>
  <si>
    <t>Hafnio</t>
  </si>
  <si>
    <t>Hf</t>
  </si>
  <si>
    <t>Hassio</t>
  </si>
  <si>
    <t>Hs</t>
  </si>
  <si>
    <t>Helio</t>
  </si>
  <si>
    <t>He</t>
  </si>
  <si>
    <t>Hidrógeno</t>
  </si>
  <si>
    <t>H</t>
  </si>
  <si>
    <t>Hierro</t>
  </si>
  <si>
    <t>Fe</t>
  </si>
  <si>
    <t>Holmio</t>
  </si>
  <si>
    <t>Ho</t>
  </si>
  <si>
    <t>Indio</t>
  </si>
  <si>
    <t>In</t>
  </si>
  <si>
    <t>I</t>
  </si>
  <si>
    <t>Iridio</t>
  </si>
  <si>
    <t>Ir</t>
  </si>
  <si>
    <t>Iterbio</t>
  </si>
  <si>
    <t>Yb</t>
  </si>
  <si>
    <t>Itrio</t>
  </si>
  <si>
    <t>Y</t>
  </si>
  <si>
    <t>Lantano</t>
  </si>
  <si>
    <t>La</t>
  </si>
  <si>
    <t>Litio</t>
  </si>
  <si>
    <t>Li</t>
  </si>
  <si>
    <t>Lutecio</t>
  </si>
  <si>
    <t>Lu</t>
  </si>
  <si>
    <t>Magnesio</t>
  </si>
  <si>
    <t>Mg</t>
  </si>
  <si>
    <t>Manganeso</t>
  </si>
  <si>
    <t>Mn</t>
  </si>
  <si>
    <t>Meitnerio</t>
  </si>
  <si>
    <t>Mt</t>
  </si>
  <si>
    <t>Mendelevio</t>
  </si>
  <si>
    <t>Md</t>
  </si>
  <si>
    <t>Mercurio</t>
  </si>
  <si>
    <t>Hg</t>
  </si>
  <si>
    <t>Molibdeno</t>
  </si>
  <si>
    <t>Mo</t>
  </si>
  <si>
    <t>Neodimio</t>
  </si>
  <si>
    <t>Nd</t>
  </si>
  <si>
    <t>Neón</t>
  </si>
  <si>
    <t>Ne</t>
  </si>
  <si>
    <t>Neptunio</t>
  </si>
  <si>
    <t>Np</t>
  </si>
  <si>
    <t>Niobio</t>
  </si>
  <si>
    <t>Nb</t>
  </si>
  <si>
    <t>Níquel</t>
  </si>
  <si>
    <t>Ni</t>
  </si>
  <si>
    <t>Nitrógeno</t>
  </si>
  <si>
    <t>Nobelio</t>
  </si>
  <si>
    <t>No</t>
  </si>
  <si>
    <t>Oro</t>
  </si>
  <si>
    <t>Au</t>
  </si>
  <si>
    <t>Osmio</t>
  </si>
  <si>
    <t>Os</t>
  </si>
  <si>
    <t>Oxígeno</t>
  </si>
  <si>
    <t>O</t>
  </si>
  <si>
    <t>Paladio</t>
  </si>
  <si>
    <t>Pd</t>
  </si>
  <si>
    <t>Plata</t>
  </si>
  <si>
    <t>Ag</t>
  </si>
  <si>
    <t>Platino</t>
  </si>
  <si>
    <t>Pt</t>
  </si>
  <si>
    <t>Plomo</t>
  </si>
  <si>
    <t>Pb</t>
  </si>
  <si>
    <t>Plutonio</t>
  </si>
  <si>
    <t>Pu</t>
  </si>
  <si>
    <t>Polonio</t>
  </si>
  <si>
    <t>Po</t>
  </si>
  <si>
    <t>Potasio</t>
  </si>
  <si>
    <t>K</t>
  </si>
  <si>
    <t>Praseodimio</t>
  </si>
  <si>
    <t>Pr</t>
  </si>
  <si>
    <t>Promecio</t>
  </si>
  <si>
    <t>Pm</t>
  </si>
  <si>
    <t>Protactinio</t>
  </si>
  <si>
    <t>Pa</t>
  </si>
  <si>
    <t>Radio</t>
  </si>
  <si>
    <t>Ra</t>
  </si>
  <si>
    <t>Radón</t>
  </si>
  <si>
    <t>Rn</t>
  </si>
  <si>
    <t>Renio</t>
  </si>
  <si>
    <t>Re</t>
  </si>
  <si>
    <t>Rodio</t>
  </si>
  <si>
    <t>Rh</t>
  </si>
  <si>
    <t>Rubidio</t>
  </si>
  <si>
    <t>Rb</t>
  </si>
  <si>
    <t>Rutenio</t>
  </si>
  <si>
    <t>Ru</t>
  </si>
  <si>
    <t>Rutherfordio</t>
  </si>
  <si>
    <t>Rf</t>
  </si>
  <si>
    <t>Samario</t>
  </si>
  <si>
    <t>Sm</t>
  </si>
  <si>
    <t>Seaborgio</t>
  </si>
  <si>
    <t>Sg</t>
  </si>
  <si>
    <t>Selenio</t>
  </si>
  <si>
    <t>Se</t>
  </si>
  <si>
    <t>Si</t>
  </si>
  <si>
    <t>Sodio</t>
  </si>
  <si>
    <t>Na</t>
  </si>
  <si>
    <t>Talio</t>
  </si>
  <si>
    <t>Tl</t>
  </si>
  <si>
    <t>Tantalio</t>
  </si>
  <si>
    <t>Ta</t>
  </si>
  <si>
    <t>Tecnecio</t>
  </si>
  <si>
    <t>Tc</t>
  </si>
  <si>
    <t>Te</t>
  </si>
  <si>
    <t>Terbio</t>
  </si>
  <si>
    <t>Tb</t>
  </si>
  <si>
    <t>Titanio</t>
  </si>
  <si>
    <t>Ti</t>
  </si>
  <si>
    <t>Torio</t>
  </si>
  <si>
    <t>Th</t>
  </si>
  <si>
    <t>Tulio</t>
  </si>
  <si>
    <t>Tm</t>
  </si>
  <si>
    <t>Uranio</t>
  </si>
  <si>
    <t>U</t>
  </si>
  <si>
    <t>Vanadio</t>
  </si>
  <si>
    <t>V</t>
  </si>
  <si>
    <t>Wolframio</t>
  </si>
  <si>
    <t>W</t>
  </si>
  <si>
    <t>Xenón</t>
  </si>
  <si>
    <t>Xe</t>
  </si>
  <si>
    <t>Zinc</t>
  </si>
  <si>
    <t>Zn</t>
  </si>
  <si>
    <t>Zirconio</t>
  </si>
  <si>
    <t>Zr</t>
  </si>
  <si>
    <t>Actinio</t>
  </si>
  <si>
    <t>Silicio</t>
  </si>
  <si>
    <t>Telurio</t>
  </si>
  <si>
    <t>Yodo</t>
  </si>
  <si>
    <t>Lw</t>
  </si>
  <si>
    <t>Ununilio</t>
  </si>
  <si>
    <t>Uun</t>
  </si>
  <si>
    <t>Unununio</t>
  </si>
  <si>
    <t>Uuu</t>
  </si>
  <si>
    <t>Unibio</t>
  </si>
  <si>
    <t>Uub</t>
  </si>
  <si>
    <t>Unutrio</t>
  </si>
  <si>
    <t>Uut</t>
  </si>
  <si>
    <t>Uuq</t>
  </si>
  <si>
    <t>Ununquadio</t>
  </si>
  <si>
    <t>Ununpentio</t>
  </si>
  <si>
    <t>Uup</t>
  </si>
  <si>
    <t>Ununhexio</t>
  </si>
  <si>
    <t>Uuh</t>
  </si>
  <si>
    <t>Ununseptio</t>
  </si>
  <si>
    <t>Uus</t>
  </si>
  <si>
    <t>Ununoctio</t>
  </si>
  <si>
    <t>Uuo</t>
  </si>
  <si>
    <t>Ununenio</t>
  </si>
  <si>
    <t>Unbinilio</t>
  </si>
  <si>
    <t>Uue</t>
  </si>
  <si>
    <t>Ubn</t>
  </si>
  <si>
    <t>Unbiunio</t>
  </si>
  <si>
    <t>Ubu</t>
  </si>
  <si>
    <t>gas</t>
  </si>
  <si>
    <t>gas I</t>
  </si>
  <si>
    <t>E R</t>
  </si>
  <si>
    <t>E T</t>
  </si>
  <si>
    <t>E T I</t>
  </si>
  <si>
    <t>Laurencio</t>
  </si>
  <si>
    <t>Líquido</t>
  </si>
  <si>
    <t>Artificial</t>
  </si>
  <si>
    <t>Solido</t>
  </si>
  <si>
    <t>C. O.</t>
  </si>
  <si>
    <t>C.E.</t>
  </si>
  <si>
    <t>Abr.</t>
  </si>
  <si>
    <t>Per</t>
  </si>
  <si>
    <t>G</t>
  </si>
  <si>
    <t>M</t>
  </si>
  <si>
    <t>M/N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</si>
</sst>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enntech.es/periodica/elementos/er.htm" TargetMode="External"/><Relationship Id="rId21" Type="http://schemas.openxmlformats.org/officeDocument/2006/relationships/hyperlink" Target="https://www.lenntech.es/periodica/elementos/cu.htm" TargetMode="External"/><Relationship Id="rId42" Type="http://schemas.openxmlformats.org/officeDocument/2006/relationships/hyperlink" Target="https://www.lenntech.es/periodica/elementos/fe.htm" TargetMode="External"/><Relationship Id="rId47" Type="http://schemas.openxmlformats.org/officeDocument/2006/relationships/hyperlink" Target="https://www.lenntech.es/periodica/elementos/yb.htm" TargetMode="External"/><Relationship Id="rId63" Type="http://schemas.openxmlformats.org/officeDocument/2006/relationships/hyperlink" Target="https://www.lenntech.es/periodica/elementos/ni.htm" TargetMode="External"/><Relationship Id="rId68" Type="http://schemas.openxmlformats.org/officeDocument/2006/relationships/hyperlink" Target="https://www.lenntech.es/periodica/elementos/o.htm" TargetMode="External"/><Relationship Id="rId84" Type="http://schemas.openxmlformats.org/officeDocument/2006/relationships/hyperlink" Target="https://www.lenntech.es/periodica/elementos/ru.htm" TargetMode="External"/><Relationship Id="rId89" Type="http://schemas.openxmlformats.org/officeDocument/2006/relationships/hyperlink" Target="https://www.lenntech.es/periodica/elementos/na.htm" TargetMode="External"/><Relationship Id="rId16" Type="http://schemas.openxmlformats.org/officeDocument/2006/relationships/hyperlink" Target="https://www.lenntech.es/periodica/elementos/cf.htm" TargetMode="External"/><Relationship Id="rId11" Type="http://schemas.openxmlformats.org/officeDocument/2006/relationships/hyperlink" Target="https://www.lenntech.es/periodica/elementos/bh.htm" TargetMode="External"/><Relationship Id="rId32" Type="http://schemas.openxmlformats.org/officeDocument/2006/relationships/hyperlink" Target="https://www.lenntech.es/periodica/elementos/f.htm" TargetMode="External"/><Relationship Id="rId37" Type="http://schemas.openxmlformats.org/officeDocument/2006/relationships/hyperlink" Target="https://www.lenntech.es/periodica/elementos/ge.htm" TargetMode="External"/><Relationship Id="rId53" Type="http://schemas.openxmlformats.org/officeDocument/2006/relationships/hyperlink" Target="https://www.lenntech.es/periodica/elementos/mg.htm" TargetMode="External"/><Relationship Id="rId58" Type="http://schemas.openxmlformats.org/officeDocument/2006/relationships/hyperlink" Target="https://www.lenntech.es/periodica/elementos/mo.htm" TargetMode="External"/><Relationship Id="rId74" Type="http://schemas.openxmlformats.org/officeDocument/2006/relationships/hyperlink" Target="https://www.lenntech.es/periodica/elementos/po.htm" TargetMode="External"/><Relationship Id="rId79" Type="http://schemas.openxmlformats.org/officeDocument/2006/relationships/hyperlink" Target="https://www.lenntech.es/periodica/elementos/ra.htm" TargetMode="External"/><Relationship Id="rId102" Type="http://schemas.openxmlformats.org/officeDocument/2006/relationships/hyperlink" Target="https://www.lenntech.es/periodica/elementos/zn.htm" TargetMode="External"/><Relationship Id="rId5" Type="http://schemas.openxmlformats.org/officeDocument/2006/relationships/hyperlink" Target="https://www.lenntech.es/periodica/elementos/at.htm" TargetMode="External"/><Relationship Id="rId90" Type="http://schemas.openxmlformats.org/officeDocument/2006/relationships/hyperlink" Target="https://www.lenntech.es/periodica/elementos/tl.htm" TargetMode="External"/><Relationship Id="rId95" Type="http://schemas.openxmlformats.org/officeDocument/2006/relationships/hyperlink" Target="https://www.lenntech.es/periodica/elementos/ti.htm" TargetMode="External"/><Relationship Id="rId22" Type="http://schemas.openxmlformats.org/officeDocument/2006/relationships/hyperlink" Target="https://www.lenntech.es/periodica/elementos/cr.htm" TargetMode="External"/><Relationship Id="rId27" Type="http://schemas.openxmlformats.org/officeDocument/2006/relationships/hyperlink" Target="https://www.lenntech.es/periodica/elementos/sc.htm" TargetMode="External"/><Relationship Id="rId43" Type="http://schemas.openxmlformats.org/officeDocument/2006/relationships/hyperlink" Target="https://www.lenntech.es/periodica/elementos/ho.htm" TargetMode="External"/><Relationship Id="rId48" Type="http://schemas.openxmlformats.org/officeDocument/2006/relationships/hyperlink" Target="https://www.lenntech.es/periodica/elementos/y.htm" TargetMode="External"/><Relationship Id="rId64" Type="http://schemas.openxmlformats.org/officeDocument/2006/relationships/hyperlink" Target="https://www.lenntech.es/periodica/elementos/n.htm" TargetMode="External"/><Relationship Id="rId69" Type="http://schemas.openxmlformats.org/officeDocument/2006/relationships/hyperlink" Target="https://www.lenntech.es/periodica/elementos/pd.htm" TargetMode="External"/><Relationship Id="rId80" Type="http://schemas.openxmlformats.org/officeDocument/2006/relationships/hyperlink" Target="https://www.lenntech.es/periodica/elementos/rn.htm" TargetMode="External"/><Relationship Id="rId85" Type="http://schemas.openxmlformats.org/officeDocument/2006/relationships/hyperlink" Target="https://www.lenntech.es/periodica/elementos/rf.htm" TargetMode="External"/><Relationship Id="rId12" Type="http://schemas.openxmlformats.org/officeDocument/2006/relationships/hyperlink" Target="https://www.lenntech.es/periodica/elementos/b.htm" TargetMode="External"/><Relationship Id="rId17" Type="http://schemas.openxmlformats.org/officeDocument/2006/relationships/hyperlink" Target="https://www.lenntech.es/periodica/elementos/c.htm" TargetMode="External"/><Relationship Id="rId25" Type="http://schemas.openxmlformats.org/officeDocument/2006/relationships/hyperlink" Target="https://www.lenntech.es/periodica/elementos/db.htm" TargetMode="External"/><Relationship Id="rId33" Type="http://schemas.openxmlformats.org/officeDocument/2006/relationships/hyperlink" Target="https://www.lenntech.es/periodica/elementos/p.htm" TargetMode="External"/><Relationship Id="rId38" Type="http://schemas.openxmlformats.org/officeDocument/2006/relationships/hyperlink" Target="https://www.lenntech.es/periodica/elementos/hf.htm" TargetMode="External"/><Relationship Id="rId46" Type="http://schemas.openxmlformats.org/officeDocument/2006/relationships/hyperlink" Target="https://www.lenntech.es/periodica/elementos/ir.htm" TargetMode="External"/><Relationship Id="rId59" Type="http://schemas.openxmlformats.org/officeDocument/2006/relationships/hyperlink" Target="https://www.lenntech.es/periodica/elementos/nd.htm" TargetMode="External"/><Relationship Id="rId67" Type="http://schemas.openxmlformats.org/officeDocument/2006/relationships/hyperlink" Target="https://www.lenntech.es/periodica/elementos/os.htm" TargetMode="External"/><Relationship Id="rId103" Type="http://schemas.openxmlformats.org/officeDocument/2006/relationships/hyperlink" Target="https://www.lenntech.es/periodica/elementos/zr.htm" TargetMode="External"/><Relationship Id="rId20" Type="http://schemas.openxmlformats.org/officeDocument/2006/relationships/hyperlink" Target="https://www.lenntech.es/periodica/elementos/co.htm" TargetMode="External"/><Relationship Id="rId41" Type="http://schemas.openxmlformats.org/officeDocument/2006/relationships/hyperlink" Target="https://www.lenntech.es/periodica/elementos/h.htm" TargetMode="External"/><Relationship Id="rId54" Type="http://schemas.openxmlformats.org/officeDocument/2006/relationships/hyperlink" Target="https://www.lenntech.es/periodica/elementos/mn.htm" TargetMode="External"/><Relationship Id="rId62" Type="http://schemas.openxmlformats.org/officeDocument/2006/relationships/hyperlink" Target="https://www.lenntech.es/periodica/elementos/nb.htm" TargetMode="External"/><Relationship Id="rId70" Type="http://schemas.openxmlformats.org/officeDocument/2006/relationships/hyperlink" Target="https://www.lenntech.es/periodica/elementos/ag.htm" TargetMode="External"/><Relationship Id="rId75" Type="http://schemas.openxmlformats.org/officeDocument/2006/relationships/hyperlink" Target="https://www.lenntech.es/periodica/elementos/k.htm" TargetMode="External"/><Relationship Id="rId83" Type="http://schemas.openxmlformats.org/officeDocument/2006/relationships/hyperlink" Target="https://www.lenntech.es/periodica/elementos/rb.htm" TargetMode="External"/><Relationship Id="rId88" Type="http://schemas.openxmlformats.org/officeDocument/2006/relationships/hyperlink" Target="https://www.lenntech.es/periodica/elementos/se.htm" TargetMode="External"/><Relationship Id="rId91" Type="http://schemas.openxmlformats.org/officeDocument/2006/relationships/hyperlink" Target="https://www.lenntech.es/periodica/elementos/ta.htm" TargetMode="External"/><Relationship Id="rId96" Type="http://schemas.openxmlformats.org/officeDocument/2006/relationships/hyperlink" Target="https://www.lenntech.es/periodica/elementos/th.htm" TargetMode="External"/><Relationship Id="rId1" Type="http://schemas.openxmlformats.org/officeDocument/2006/relationships/hyperlink" Target="https://www.lenntech.es/periodica/elementos/am.htm" TargetMode="External"/><Relationship Id="rId6" Type="http://schemas.openxmlformats.org/officeDocument/2006/relationships/hyperlink" Target="https://www.lenntech.es/periodica/elementos/s.htm" TargetMode="External"/><Relationship Id="rId15" Type="http://schemas.openxmlformats.org/officeDocument/2006/relationships/hyperlink" Target="https://www.lenntech.es/periodica/elementos/ca.htm" TargetMode="External"/><Relationship Id="rId23" Type="http://schemas.openxmlformats.org/officeDocument/2006/relationships/hyperlink" Target="https://www.lenntech.es/periodica/elementos/cm.htm" TargetMode="External"/><Relationship Id="rId28" Type="http://schemas.openxmlformats.org/officeDocument/2006/relationships/hyperlink" Target="https://www.lenntech.es/periodica/elementos/sn.htm" TargetMode="External"/><Relationship Id="rId36" Type="http://schemas.openxmlformats.org/officeDocument/2006/relationships/hyperlink" Target="https://www.lenntech.es/periodica/elementos/ga.htm" TargetMode="External"/><Relationship Id="rId49" Type="http://schemas.openxmlformats.org/officeDocument/2006/relationships/hyperlink" Target="https://www.lenntech.es/periodica/elementos/la.htm" TargetMode="External"/><Relationship Id="rId57" Type="http://schemas.openxmlformats.org/officeDocument/2006/relationships/hyperlink" Target="https://www.lenntech.es/periodica/elementos/hg.htm" TargetMode="External"/><Relationship Id="rId10" Type="http://schemas.openxmlformats.org/officeDocument/2006/relationships/hyperlink" Target="https://www.lenntech.es/periodica/elementos/bi.htm" TargetMode="External"/><Relationship Id="rId31" Type="http://schemas.openxmlformats.org/officeDocument/2006/relationships/hyperlink" Target="https://www.lenntech.es/periodica/elementos/fm.htm" TargetMode="External"/><Relationship Id="rId44" Type="http://schemas.openxmlformats.org/officeDocument/2006/relationships/hyperlink" Target="https://www.lenntech.es/periodica/elementos/in.htm" TargetMode="External"/><Relationship Id="rId52" Type="http://schemas.openxmlformats.org/officeDocument/2006/relationships/hyperlink" Target="https://www.lenntech.es/periodica/elementos/lu.htm" TargetMode="External"/><Relationship Id="rId60" Type="http://schemas.openxmlformats.org/officeDocument/2006/relationships/hyperlink" Target="https://www.lenntech.es/periodica/elementos/ne.htm" TargetMode="External"/><Relationship Id="rId65" Type="http://schemas.openxmlformats.org/officeDocument/2006/relationships/hyperlink" Target="https://www.lenntech.es/periodica/elementos/no.htm" TargetMode="External"/><Relationship Id="rId73" Type="http://schemas.openxmlformats.org/officeDocument/2006/relationships/hyperlink" Target="https://www.lenntech.es/periodica/elementos/pu.htm" TargetMode="External"/><Relationship Id="rId78" Type="http://schemas.openxmlformats.org/officeDocument/2006/relationships/hyperlink" Target="https://www.lenntech.es/periodica/elementos/pa.htm" TargetMode="External"/><Relationship Id="rId81" Type="http://schemas.openxmlformats.org/officeDocument/2006/relationships/hyperlink" Target="https://www.lenntech.es/periodica/elementos/re.htm" TargetMode="External"/><Relationship Id="rId86" Type="http://schemas.openxmlformats.org/officeDocument/2006/relationships/hyperlink" Target="https://www.lenntech.es/periodica/elementos/sm.htm" TargetMode="External"/><Relationship Id="rId94" Type="http://schemas.openxmlformats.org/officeDocument/2006/relationships/hyperlink" Target="https://www.lenntech.es/periodica/elementos/tb.htm" TargetMode="External"/><Relationship Id="rId99" Type="http://schemas.openxmlformats.org/officeDocument/2006/relationships/hyperlink" Target="https://www.lenntech.es/periodica/elementos/v.htm" TargetMode="External"/><Relationship Id="rId101" Type="http://schemas.openxmlformats.org/officeDocument/2006/relationships/hyperlink" Target="https://www.lenntech.es/periodica/elementos/xe.htm" TargetMode="External"/><Relationship Id="rId4" Type="http://schemas.openxmlformats.org/officeDocument/2006/relationships/hyperlink" Target="https://www.lenntech.es/periodica/elementos/as.htm" TargetMode="External"/><Relationship Id="rId9" Type="http://schemas.openxmlformats.org/officeDocument/2006/relationships/hyperlink" Target="https://www.lenntech.es/periodica/elementos/bk.htm" TargetMode="External"/><Relationship Id="rId13" Type="http://schemas.openxmlformats.org/officeDocument/2006/relationships/hyperlink" Target="https://www.lenntech.es/periodica/elementos/br.htm" TargetMode="External"/><Relationship Id="rId18" Type="http://schemas.openxmlformats.org/officeDocument/2006/relationships/hyperlink" Target="https://www.lenntech.es/periodica/elementos/ce.htm" TargetMode="External"/><Relationship Id="rId39" Type="http://schemas.openxmlformats.org/officeDocument/2006/relationships/hyperlink" Target="https://www.lenntech.es/periodica/elementos/hs.htm" TargetMode="External"/><Relationship Id="rId34" Type="http://schemas.openxmlformats.org/officeDocument/2006/relationships/hyperlink" Target="https://www.lenntech.es/periodica/elementos/fr.htm" TargetMode="External"/><Relationship Id="rId50" Type="http://schemas.openxmlformats.org/officeDocument/2006/relationships/hyperlink" Target="https://www.lenntech.es/periodica/elementos/lr.htm" TargetMode="External"/><Relationship Id="rId55" Type="http://schemas.openxmlformats.org/officeDocument/2006/relationships/hyperlink" Target="https://www.lenntech.es/periodica/elementos/mt.htm" TargetMode="External"/><Relationship Id="rId76" Type="http://schemas.openxmlformats.org/officeDocument/2006/relationships/hyperlink" Target="https://www.lenntech.es/periodica/elementos/pr.htm" TargetMode="External"/><Relationship Id="rId97" Type="http://schemas.openxmlformats.org/officeDocument/2006/relationships/hyperlink" Target="https://www.lenntech.es/periodica/elementos/tm.htm" TargetMode="External"/><Relationship Id="rId104" Type="http://schemas.openxmlformats.org/officeDocument/2006/relationships/printerSettings" Target="../printerSettings/printerSettings1.bin"/><Relationship Id="rId7" Type="http://schemas.openxmlformats.org/officeDocument/2006/relationships/hyperlink" Target="https://www.lenntech.es/periodica/elementos/ba.htm" TargetMode="External"/><Relationship Id="rId71" Type="http://schemas.openxmlformats.org/officeDocument/2006/relationships/hyperlink" Target="https://www.lenntech.es/periodica/elementos/pt.htm" TargetMode="External"/><Relationship Id="rId92" Type="http://schemas.openxmlformats.org/officeDocument/2006/relationships/hyperlink" Target="https://www.lenntech.es/periodica/elementos/tc.htm" TargetMode="External"/><Relationship Id="rId2" Type="http://schemas.openxmlformats.org/officeDocument/2006/relationships/hyperlink" Target="https://www.lenntech.es/periodica/elementos/sb.htm" TargetMode="External"/><Relationship Id="rId29" Type="http://schemas.openxmlformats.org/officeDocument/2006/relationships/hyperlink" Target="https://www.lenntech.es/periodica/elementos/sr.htm" TargetMode="External"/><Relationship Id="rId24" Type="http://schemas.openxmlformats.org/officeDocument/2006/relationships/hyperlink" Target="https://www.lenntech.es/periodica/elementos/dy.htm" TargetMode="External"/><Relationship Id="rId40" Type="http://schemas.openxmlformats.org/officeDocument/2006/relationships/hyperlink" Target="https://www.lenntech.es/periodica/elementos/he.htm" TargetMode="External"/><Relationship Id="rId45" Type="http://schemas.openxmlformats.org/officeDocument/2006/relationships/hyperlink" Target="https://www.lenntech.es/periodica/elementos/i.htm" TargetMode="External"/><Relationship Id="rId66" Type="http://schemas.openxmlformats.org/officeDocument/2006/relationships/hyperlink" Target="https://www.lenntech.es/periodica/elementos/au.htm" TargetMode="External"/><Relationship Id="rId87" Type="http://schemas.openxmlformats.org/officeDocument/2006/relationships/hyperlink" Target="https://www.lenntech.es/periodica/elementos/sg.htm" TargetMode="External"/><Relationship Id="rId61" Type="http://schemas.openxmlformats.org/officeDocument/2006/relationships/hyperlink" Target="https://www.lenntech.es/periodica/elementos/p.htm" TargetMode="External"/><Relationship Id="rId82" Type="http://schemas.openxmlformats.org/officeDocument/2006/relationships/hyperlink" Target="https://www.lenntech.es/periodica/elementos/rh.htm" TargetMode="External"/><Relationship Id="rId19" Type="http://schemas.openxmlformats.org/officeDocument/2006/relationships/hyperlink" Target="https://www.lenntech.es/periodica/elementos/cs.htm" TargetMode="External"/><Relationship Id="rId14" Type="http://schemas.openxmlformats.org/officeDocument/2006/relationships/hyperlink" Target="https://www.lenntech.es/periodica/elementos/cd.htm" TargetMode="External"/><Relationship Id="rId30" Type="http://schemas.openxmlformats.org/officeDocument/2006/relationships/hyperlink" Target="https://www.lenntech.es/periodica/elementos/eu.htm" TargetMode="External"/><Relationship Id="rId35" Type="http://schemas.openxmlformats.org/officeDocument/2006/relationships/hyperlink" Target="https://www.lenntech.es/periodica/elementos/gd.htm" TargetMode="External"/><Relationship Id="rId56" Type="http://schemas.openxmlformats.org/officeDocument/2006/relationships/hyperlink" Target="https://www.lenntech.es/periodica/elementos/md.htm" TargetMode="External"/><Relationship Id="rId77" Type="http://schemas.openxmlformats.org/officeDocument/2006/relationships/hyperlink" Target="https://www.lenntech.es/periodica/elementos/pm.htm" TargetMode="External"/><Relationship Id="rId100" Type="http://schemas.openxmlformats.org/officeDocument/2006/relationships/hyperlink" Target="https://www.lenntech.es/periodica/elementos/w.htm" TargetMode="External"/><Relationship Id="rId8" Type="http://schemas.openxmlformats.org/officeDocument/2006/relationships/hyperlink" Target="https://www.lenntech.es/periodica/elementos/be.htm" TargetMode="External"/><Relationship Id="rId51" Type="http://schemas.openxmlformats.org/officeDocument/2006/relationships/hyperlink" Target="https://www.lenntech.es/periodica/elementos/li.htm" TargetMode="External"/><Relationship Id="rId72" Type="http://schemas.openxmlformats.org/officeDocument/2006/relationships/hyperlink" Target="https://www.lenntech.es/periodica/elementos/pb.htm" TargetMode="External"/><Relationship Id="rId93" Type="http://schemas.openxmlformats.org/officeDocument/2006/relationships/hyperlink" Target="https://www.lenntech.es/periodica/elementos/te.htm" TargetMode="External"/><Relationship Id="rId98" Type="http://schemas.openxmlformats.org/officeDocument/2006/relationships/hyperlink" Target="https://www.lenntech.es/periodica/elementos/u.htm" TargetMode="External"/><Relationship Id="rId3" Type="http://schemas.openxmlformats.org/officeDocument/2006/relationships/hyperlink" Target="https://www.lenntech.es/periodica/elementos/a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BE1E-26C9-4300-ABB1-1585EFB41B72}">
  <dimension ref="A1:O122"/>
  <sheetViews>
    <sheetView tabSelected="1" zoomScaleNormal="100" workbookViewId="0">
      <selection activeCell="D57" sqref="D57"/>
    </sheetView>
  </sheetViews>
  <sheetFormatPr baseColWidth="10" defaultRowHeight="15" x14ac:dyDescent="0.25"/>
  <cols>
    <col min="1" max="1" width="13" bestFit="1" customWidth="1"/>
    <col min="2" max="2" width="4.7109375" bestFit="1" customWidth="1"/>
    <col min="3" max="4" width="4" bestFit="1" customWidth="1"/>
    <col min="5" max="5" width="5" bestFit="1" customWidth="1"/>
    <col min="6" max="6" width="4" bestFit="1" customWidth="1"/>
    <col min="7" max="7" width="4.7109375" bestFit="1" customWidth="1"/>
    <col min="8" max="8" width="4" bestFit="1" customWidth="1"/>
    <col min="9" max="9" width="3" bestFit="1" customWidth="1"/>
    <col min="10" max="10" width="4.140625" bestFit="1" customWidth="1"/>
    <col min="11" max="11" width="8" bestFit="1" customWidth="1"/>
    <col min="12" max="12" width="5.140625" bestFit="1" customWidth="1"/>
    <col min="13" max="13" width="5.140625" customWidth="1"/>
    <col min="14" max="14" width="11.28515625" customWidth="1"/>
    <col min="15" max="15" width="5.42578125" customWidth="1"/>
  </cols>
  <sheetData>
    <row r="1" spans="1:15" x14ac:dyDescent="0.25">
      <c r="A1" s="1" t="s">
        <v>0</v>
      </c>
      <c r="B1" s="1" t="s">
        <v>254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255</v>
      </c>
      <c r="I1" s="1" t="s">
        <v>256</v>
      </c>
      <c r="J1" s="1" t="s">
        <v>33</v>
      </c>
      <c r="K1" s="1" t="s">
        <v>6</v>
      </c>
      <c r="L1" s="1" t="s">
        <v>258</v>
      </c>
      <c r="M1" s="2" t="s">
        <v>252</v>
      </c>
      <c r="N1" s="5" t="s">
        <v>253</v>
      </c>
      <c r="O1" s="5"/>
    </row>
    <row r="2" spans="1:15" x14ac:dyDescent="0.25">
      <c r="A2" s="1" t="s">
        <v>92</v>
      </c>
      <c r="B2" s="3" t="s">
        <v>93</v>
      </c>
      <c r="C2" s="3">
        <v>1</v>
      </c>
      <c r="D2" s="3">
        <v>1</v>
      </c>
      <c r="E2" s="3">
        <f t="shared" ref="E2:E33" si="0">D2</f>
        <v>1</v>
      </c>
      <c r="F2" s="3">
        <f t="shared" ref="F2:F33" si="1">C2-D2</f>
        <v>0</v>
      </c>
      <c r="G2" s="3">
        <f t="shared" ref="G2:G33" si="2">D2</f>
        <v>1</v>
      </c>
      <c r="H2" s="3">
        <v>1</v>
      </c>
      <c r="I2" s="3">
        <v>1</v>
      </c>
      <c r="J2" s="7"/>
      <c r="K2" s="3" t="s">
        <v>243</v>
      </c>
      <c r="L2" s="7" t="s">
        <v>4</v>
      </c>
      <c r="M2" s="6">
        <f>H2</f>
        <v>1</v>
      </c>
      <c r="N2" s="4"/>
      <c r="O2" s="4"/>
    </row>
    <row r="3" spans="1:15" x14ac:dyDescent="0.25">
      <c r="A3" s="1" t="s">
        <v>90</v>
      </c>
      <c r="B3" s="3" t="s">
        <v>91</v>
      </c>
      <c r="C3" s="3">
        <v>4</v>
      </c>
      <c r="D3" s="3">
        <v>2</v>
      </c>
      <c r="E3" s="3">
        <f t="shared" si="0"/>
        <v>2</v>
      </c>
      <c r="F3" s="3">
        <f t="shared" si="1"/>
        <v>2</v>
      </c>
      <c r="G3" s="3">
        <f t="shared" si="2"/>
        <v>2</v>
      </c>
      <c r="H3" s="3">
        <v>1</v>
      </c>
      <c r="I3" s="3">
        <v>18</v>
      </c>
      <c r="J3" s="7"/>
      <c r="K3" s="3" t="s">
        <v>244</v>
      </c>
      <c r="L3" s="7" t="s">
        <v>4</v>
      </c>
      <c r="M3" s="6">
        <f t="shared" ref="M3:M66" si="3">H3</f>
        <v>1</v>
      </c>
      <c r="N3" s="4"/>
      <c r="O3" s="4"/>
    </row>
    <row r="4" spans="1:15" x14ac:dyDescent="0.25">
      <c r="A4" s="1" t="s">
        <v>109</v>
      </c>
      <c r="B4" s="3" t="s">
        <v>110</v>
      </c>
      <c r="C4" s="3">
        <v>7</v>
      </c>
      <c r="D4" s="3">
        <v>3</v>
      </c>
      <c r="E4" s="3">
        <f t="shared" si="0"/>
        <v>3</v>
      </c>
      <c r="F4" s="3">
        <f t="shared" si="1"/>
        <v>4</v>
      </c>
      <c r="G4" s="3">
        <f t="shared" si="2"/>
        <v>3</v>
      </c>
      <c r="H4" s="3">
        <v>2</v>
      </c>
      <c r="I4" s="3">
        <v>1</v>
      </c>
      <c r="J4" s="3" t="s">
        <v>245</v>
      </c>
      <c r="K4" s="3" t="s">
        <v>251</v>
      </c>
      <c r="L4" s="3" t="s">
        <v>257</v>
      </c>
      <c r="M4" s="6">
        <f t="shared" si="3"/>
        <v>2</v>
      </c>
      <c r="N4" s="4"/>
      <c r="O4" s="4"/>
    </row>
    <row r="5" spans="1:15" x14ac:dyDescent="0.25">
      <c r="A5" s="1" t="s">
        <v>24</v>
      </c>
      <c r="B5" s="3" t="s">
        <v>25</v>
      </c>
      <c r="C5" s="3">
        <v>9</v>
      </c>
      <c r="D5" s="3">
        <v>4</v>
      </c>
      <c r="E5" s="3">
        <f t="shared" si="0"/>
        <v>4</v>
      </c>
      <c r="F5" s="3">
        <f t="shared" si="1"/>
        <v>5</v>
      </c>
      <c r="G5" s="3">
        <f t="shared" si="2"/>
        <v>4</v>
      </c>
      <c r="H5" s="3">
        <v>2</v>
      </c>
      <c r="I5" s="3">
        <v>2</v>
      </c>
      <c r="J5" s="3" t="s">
        <v>245</v>
      </c>
      <c r="K5" s="3" t="s">
        <v>251</v>
      </c>
      <c r="L5" s="3" t="s">
        <v>257</v>
      </c>
      <c r="M5" s="6">
        <f t="shared" si="3"/>
        <v>2</v>
      </c>
      <c r="N5" s="4"/>
      <c r="O5" s="4"/>
    </row>
    <row r="6" spans="1:15" x14ac:dyDescent="0.25">
      <c r="A6" s="1" t="s">
        <v>32</v>
      </c>
      <c r="B6" s="3" t="s">
        <v>33</v>
      </c>
      <c r="C6" s="3">
        <v>11</v>
      </c>
      <c r="D6" s="3">
        <v>5</v>
      </c>
      <c r="E6" s="3">
        <f t="shared" si="0"/>
        <v>5</v>
      </c>
      <c r="F6" s="3">
        <f t="shared" si="1"/>
        <v>6</v>
      </c>
      <c r="G6" s="3">
        <f t="shared" si="2"/>
        <v>5</v>
      </c>
      <c r="H6" s="3">
        <v>2</v>
      </c>
      <c r="I6" s="3">
        <v>13</v>
      </c>
      <c r="J6" s="3" t="s">
        <v>245</v>
      </c>
      <c r="K6" s="3" t="s">
        <v>251</v>
      </c>
      <c r="L6" s="7" t="s">
        <v>4</v>
      </c>
      <c r="M6" s="6">
        <f t="shared" si="3"/>
        <v>2</v>
      </c>
      <c r="N6" s="4"/>
      <c r="O6" s="4"/>
    </row>
    <row r="7" spans="1:15" x14ac:dyDescent="0.25">
      <c r="A7" s="1" t="s">
        <v>42</v>
      </c>
      <c r="B7" s="3" t="s">
        <v>43</v>
      </c>
      <c r="C7" s="3">
        <v>12</v>
      </c>
      <c r="D7" s="3">
        <v>6</v>
      </c>
      <c r="E7" s="3">
        <f t="shared" si="0"/>
        <v>6</v>
      </c>
      <c r="F7" s="3">
        <f t="shared" si="1"/>
        <v>6</v>
      </c>
      <c r="G7" s="3">
        <f t="shared" si="2"/>
        <v>6</v>
      </c>
      <c r="H7" s="3">
        <v>2</v>
      </c>
      <c r="I7" s="3">
        <v>14</v>
      </c>
      <c r="J7" s="3" t="s">
        <v>245</v>
      </c>
      <c r="K7" s="3" t="s">
        <v>251</v>
      </c>
      <c r="L7" s="7" t="s">
        <v>4</v>
      </c>
      <c r="M7" s="6">
        <f t="shared" si="3"/>
        <v>2</v>
      </c>
      <c r="N7" s="4"/>
      <c r="O7" s="4"/>
    </row>
    <row r="8" spans="1:15" x14ac:dyDescent="0.25">
      <c r="A8" s="1" t="s">
        <v>135</v>
      </c>
      <c r="B8" s="3" t="s">
        <v>4</v>
      </c>
      <c r="C8" s="3">
        <v>14</v>
      </c>
      <c r="D8" s="3">
        <v>7</v>
      </c>
      <c r="E8" s="3">
        <f t="shared" si="0"/>
        <v>7</v>
      </c>
      <c r="F8" s="3">
        <f t="shared" si="1"/>
        <v>7</v>
      </c>
      <c r="G8" s="3">
        <f t="shared" si="2"/>
        <v>7</v>
      </c>
      <c r="H8" s="3">
        <v>2</v>
      </c>
      <c r="I8" s="3">
        <v>15</v>
      </c>
      <c r="J8" s="3" t="s">
        <v>245</v>
      </c>
      <c r="K8" s="3" t="s">
        <v>243</v>
      </c>
      <c r="L8" s="7" t="s">
        <v>4</v>
      </c>
      <c r="M8" s="6">
        <f t="shared" si="3"/>
        <v>2</v>
      </c>
      <c r="N8" s="4"/>
      <c r="O8" s="4"/>
    </row>
    <row r="9" spans="1:15" x14ac:dyDescent="0.25">
      <c r="A9" s="1" t="s">
        <v>142</v>
      </c>
      <c r="B9" s="3" t="s">
        <v>143</v>
      </c>
      <c r="C9" s="3">
        <v>16</v>
      </c>
      <c r="D9" s="3">
        <v>8</v>
      </c>
      <c r="E9" s="3">
        <f t="shared" si="0"/>
        <v>8</v>
      </c>
      <c r="F9" s="3">
        <f t="shared" si="1"/>
        <v>8</v>
      </c>
      <c r="G9" s="3">
        <f t="shared" si="2"/>
        <v>8</v>
      </c>
      <c r="H9" s="3">
        <v>2</v>
      </c>
      <c r="I9" s="3">
        <v>16</v>
      </c>
      <c r="J9" s="3" t="s">
        <v>245</v>
      </c>
      <c r="K9" s="3" t="s">
        <v>243</v>
      </c>
      <c r="L9" s="7" t="s">
        <v>4</v>
      </c>
      <c r="M9" s="6">
        <f t="shared" si="3"/>
        <v>2</v>
      </c>
      <c r="N9" s="4"/>
      <c r="O9" s="4"/>
    </row>
    <row r="10" spans="1:15" x14ac:dyDescent="0.25">
      <c r="A10" s="1" t="s">
        <v>74</v>
      </c>
      <c r="B10" s="3" t="s">
        <v>75</v>
      </c>
      <c r="C10" s="3">
        <v>19</v>
      </c>
      <c r="D10" s="3">
        <v>9</v>
      </c>
      <c r="E10" s="3">
        <f t="shared" si="0"/>
        <v>9</v>
      </c>
      <c r="F10" s="3">
        <f t="shared" si="1"/>
        <v>10</v>
      </c>
      <c r="G10" s="3">
        <f t="shared" si="2"/>
        <v>9</v>
      </c>
      <c r="H10" s="3">
        <v>2</v>
      </c>
      <c r="I10" s="3">
        <v>17</v>
      </c>
      <c r="J10" s="3" t="s">
        <v>245</v>
      </c>
      <c r="K10" s="3" t="s">
        <v>243</v>
      </c>
      <c r="L10" s="7" t="s">
        <v>4</v>
      </c>
      <c r="M10" s="6">
        <f t="shared" si="3"/>
        <v>2</v>
      </c>
      <c r="N10" s="4"/>
      <c r="O10" s="4"/>
    </row>
    <row r="11" spans="1:15" x14ac:dyDescent="0.25">
      <c r="A11" s="1" t="s">
        <v>127</v>
      </c>
      <c r="B11" s="3" t="s">
        <v>128</v>
      </c>
      <c r="C11" s="3">
        <v>20</v>
      </c>
      <c r="D11" s="3">
        <v>10</v>
      </c>
      <c r="E11" s="3">
        <f t="shared" si="0"/>
        <v>10</v>
      </c>
      <c r="F11" s="3">
        <f t="shared" si="1"/>
        <v>10</v>
      </c>
      <c r="G11" s="3">
        <f t="shared" si="2"/>
        <v>10</v>
      </c>
      <c r="H11" s="3">
        <v>2</v>
      </c>
      <c r="I11" s="3">
        <v>18</v>
      </c>
      <c r="J11" s="3" t="s">
        <v>245</v>
      </c>
      <c r="K11" s="3" t="s">
        <v>244</v>
      </c>
      <c r="L11" s="7" t="s">
        <v>4</v>
      </c>
      <c r="M11" s="6">
        <f t="shared" si="3"/>
        <v>2</v>
      </c>
      <c r="N11" s="4"/>
      <c r="O11" s="4"/>
    </row>
    <row r="12" spans="1:15" x14ac:dyDescent="0.25">
      <c r="A12" s="1" t="s">
        <v>185</v>
      </c>
      <c r="B12" s="3" t="s">
        <v>186</v>
      </c>
      <c r="C12" s="3">
        <v>23</v>
      </c>
      <c r="D12" s="3">
        <v>11</v>
      </c>
      <c r="E12" s="3">
        <f t="shared" si="0"/>
        <v>11</v>
      </c>
      <c r="F12" s="3">
        <f t="shared" si="1"/>
        <v>12</v>
      </c>
      <c r="G12" s="3">
        <f t="shared" si="2"/>
        <v>11</v>
      </c>
      <c r="H12" s="3">
        <v>3</v>
      </c>
      <c r="I12" s="3">
        <v>1</v>
      </c>
      <c r="J12" s="3" t="s">
        <v>245</v>
      </c>
      <c r="K12" s="3" t="s">
        <v>251</v>
      </c>
      <c r="L12" s="3" t="s">
        <v>257</v>
      </c>
      <c r="M12" s="6">
        <f t="shared" si="3"/>
        <v>3</v>
      </c>
      <c r="N12" s="4"/>
      <c r="O12" s="4"/>
    </row>
    <row r="13" spans="1:15" x14ac:dyDescent="0.25">
      <c r="A13" s="1" t="s">
        <v>113</v>
      </c>
      <c r="B13" s="3" t="s">
        <v>114</v>
      </c>
      <c r="C13" s="3">
        <v>24</v>
      </c>
      <c r="D13" s="3">
        <v>12</v>
      </c>
      <c r="E13" s="3">
        <f t="shared" si="0"/>
        <v>12</v>
      </c>
      <c r="F13" s="3">
        <f t="shared" si="1"/>
        <v>12</v>
      </c>
      <c r="G13" s="3">
        <f t="shared" si="2"/>
        <v>12</v>
      </c>
      <c r="H13" s="3">
        <v>3</v>
      </c>
      <c r="I13" s="3">
        <v>2</v>
      </c>
      <c r="J13" s="3" t="s">
        <v>245</v>
      </c>
      <c r="K13" s="3" t="s">
        <v>251</v>
      </c>
      <c r="L13" s="3" t="s">
        <v>257</v>
      </c>
      <c r="M13" s="6">
        <f t="shared" si="3"/>
        <v>3</v>
      </c>
      <c r="N13" s="4"/>
      <c r="O13" s="4"/>
    </row>
    <row r="14" spans="1:15" x14ac:dyDescent="0.25">
      <c r="A14" s="1" t="s">
        <v>8</v>
      </c>
      <c r="B14" s="3" t="s">
        <v>9</v>
      </c>
      <c r="C14" s="3">
        <v>27</v>
      </c>
      <c r="D14" s="3">
        <v>13</v>
      </c>
      <c r="E14" s="3">
        <f t="shared" si="0"/>
        <v>13</v>
      </c>
      <c r="F14" s="3">
        <f t="shared" si="1"/>
        <v>14</v>
      </c>
      <c r="G14" s="3">
        <f t="shared" si="2"/>
        <v>13</v>
      </c>
      <c r="H14" s="3">
        <v>3</v>
      </c>
      <c r="I14" s="3">
        <v>13</v>
      </c>
      <c r="J14" s="3" t="s">
        <v>245</v>
      </c>
      <c r="K14" s="3" t="s">
        <v>251</v>
      </c>
      <c r="L14" s="3" t="s">
        <v>257</v>
      </c>
      <c r="M14" s="6">
        <f t="shared" si="3"/>
        <v>3</v>
      </c>
      <c r="N14" s="4"/>
      <c r="O14" s="4"/>
    </row>
    <row r="15" spans="1:15" x14ac:dyDescent="0.25">
      <c r="A15" s="1" t="s">
        <v>215</v>
      </c>
      <c r="B15" s="3" t="s">
        <v>184</v>
      </c>
      <c r="C15" s="3">
        <v>28</v>
      </c>
      <c r="D15" s="3">
        <v>14</v>
      </c>
      <c r="E15" s="3">
        <f t="shared" si="0"/>
        <v>14</v>
      </c>
      <c r="F15" s="3">
        <f t="shared" si="1"/>
        <v>14</v>
      </c>
      <c r="G15" s="3">
        <f t="shared" si="2"/>
        <v>14</v>
      </c>
      <c r="H15" s="3">
        <v>3</v>
      </c>
      <c r="I15" s="3">
        <v>14</v>
      </c>
      <c r="J15" s="3" t="s">
        <v>245</v>
      </c>
      <c r="K15" s="3" t="s">
        <v>251</v>
      </c>
      <c r="L15" s="7" t="s">
        <v>4</v>
      </c>
      <c r="M15" s="6">
        <f t="shared" si="3"/>
        <v>3</v>
      </c>
      <c r="N15" s="4"/>
      <c r="O15" s="4"/>
    </row>
    <row r="16" spans="1:15" x14ac:dyDescent="0.25">
      <c r="A16" s="1" t="s">
        <v>76</v>
      </c>
      <c r="B16" s="3" t="s">
        <v>77</v>
      </c>
      <c r="C16" s="3">
        <v>31</v>
      </c>
      <c r="D16" s="3">
        <v>15</v>
      </c>
      <c r="E16" s="3">
        <f t="shared" si="0"/>
        <v>15</v>
      </c>
      <c r="F16" s="3">
        <f t="shared" si="1"/>
        <v>16</v>
      </c>
      <c r="G16" s="3">
        <f t="shared" si="2"/>
        <v>15</v>
      </c>
      <c r="H16" s="3">
        <v>3</v>
      </c>
      <c r="I16" s="3">
        <v>15</v>
      </c>
      <c r="J16" s="3" t="s">
        <v>245</v>
      </c>
      <c r="K16" s="3" t="s">
        <v>251</v>
      </c>
      <c r="L16" s="7" t="s">
        <v>4</v>
      </c>
      <c r="M16" s="6">
        <f t="shared" si="3"/>
        <v>3</v>
      </c>
      <c r="N16" s="4"/>
      <c r="O16" s="4"/>
    </row>
    <row r="17" spans="1:15" x14ac:dyDescent="0.25">
      <c r="A17" s="1" t="s">
        <v>20</v>
      </c>
      <c r="B17" s="3" t="s">
        <v>21</v>
      </c>
      <c r="C17" s="3">
        <v>32</v>
      </c>
      <c r="D17" s="3">
        <v>16</v>
      </c>
      <c r="E17" s="3">
        <f t="shared" si="0"/>
        <v>16</v>
      </c>
      <c r="F17" s="3">
        <f t="shared" si="1"/>
        <v>16</v>
      </c>
      <c r="G17" s="3">
        <f t="shared" si="2"/>
        <v>16</v>
      </c>
      <c r="H17" s="3">
        <v>3</v>
      </c>
      <c r="I17" s="3">
        <v>16</v>
      </c>
      <c r="J17" s="3" t="s">
        <v>245</v>
      </c>
      <c r="K17" s="3" t="s">
        <v>251</v>
      </c>
      <c r="L17" s="7" t="s">
        <v>4</v>
      </c>
      <c r="M17" s="6">
        <f t="shared" si="3"/>
        <v>3</v>
      </c>
      <c r="N17" s="4"/>
      <c r="O17" s="4"/>
    </row>
    <row r="18" spans="1:15" x14ac:dyDescent="0.25">
      <c r="A18" s="1" t="s">
        <v>48</v>
      </c>
      <c r="B18" s="3" t="s">
        <v>49</v>
      </c>
      <c r="C18" s="3">
        <v>35</v>
      </c>
      <c r="D18" s="3">
        <v>17</v>
      </c>
      <c r="E18" s="3">
        <f t="shared" si="0"/>
        <v>17</v>
      </c>
      <c r="F18" s="3">
        <f t="shared" si="1"/>
        <v>18</v>
      </c>
      <c r="G18" s="3">
        <f t="shared" si="2"/>
        <v>17</v>
      </c>
      <c r="H18" s="3">
        <v>3</v>
      </c>
      <c r="I18" s="3">
        <v>17</v>
      </c>
      <c r="J18" s="3" t="s">
        <v>245</v>
      </c>
      <c r="K18" s="3" t="s">
        <v>243</v>
      </c>
      <c r="L18" s="7" t="s">
        <v>4</v>
      </c>
      <c r="M18" s="6">
        <f t="shared" si="3"/>
        <v>3</v>
      </c>
      <c r="N18" s="4"/>
      <c r="O18" s="4"/>
    </row>
    <row r="19" spans="1:15" x14ac:dyDescent="0.25">
      <c r="A19" s="1" t="s">
        <v>14</v>
      </c>
      <c r="B19" s="3" t="s">
        <v>15</v>
      </c>
      <c r="C19" s="3">
        <v>40</v>
      </c>
      <c r="D19" s="3">
        <v>18</v>
      </c>
      <c r="E19" s="3">
        <f t="shared" si="0"/>
        <v>18</v>
      </c>
      <c r="F19" s="3">
        <f t="shared" si="1"/>
        <v>22</v>
      </c>
      <c r="G19" s="3">
        <f t="shared" si="2"/>
        <v>18</v>
      </c>
      <c r="H19" s="3">
        <v>3</v>
      </c>
      <c r="I19" s="3">
        <v>18</v>
      </c>
      <c r="J19" s="3" t="s">
        <v>245</v>
      </c>
      <c r="K19" s="3" t="s">
        <v>244</v>
      </c>
      <c r="L19" s="7" t="s">
        <v>4</v>
      </c>
      <c r="M19" s="6">
        <f t="shared" si="3"/>
        <v>3</v>
      </c>
      <c r="N19" s="4"/>
      <c r="O19" s="4"/>
    </row>
    <row r="20" spans="1:15" x14ac:dyDescent="0.25">
      <c r="A20" s="1" t="s">
        <v>156</v>
      </c>
      <c r="B20" s="3" t="s">
        <v>157</v>
      </c>
      <c r="C20" s="3">
        <v>39</v>
      </c>
      <c r="D20" s="3">
        <v>19</v>
      </c>
      <c r="E20" s="3">
        <f t="shared" si="0"/>
        <v>19</v>
      </c>
      <c r="F20" s="3">
        <f t="shared" si="1"/>
        <v>20</v>
      </c>
      <c r="G20" s="3">
        <f t="shared" si="2"/>
        <v>19</v>
      </c>
      <c r="H20" s="3">
        <v>4</v>
      </c>
      <c r="I20" s="3">
        <v>1</v>
      </c>
      <c r="J20" s="3" t="s">
        <v>245</v>
      </c>
      <c r="K20" s="3" t="s">
        <v>251</v>
      </c>
      <c r="L20" s="3" t="s">
        <v>257</v>
      </c>
      <c r="M20" s="6">
        <f t="shared" si="3"/>
        <v>4</v>
      </c>
      <c r="N20" s="4"/>
      <c r="O20" s="4"/>
    </row>
    <row r="21" spans="1:15" x14ac:dyDescent="0.25">
      <c r="A21" s="1" t="s">
        <v>38</v>
      </c>
      <c r="B21" s="3" t="s">
        <v>39</v>
      </c>
      <c r="C21" s="3">
        <v>40</v>
      </c>
      <c r="D21" s="3">
        <v>20</v>
      </c>
      <c r="E21" s="3">
        <f t="shared" si="0"/>
        <v>20</v>
      </c>
      <c r="F21" s="3">
        <f t="shared" si="1"/>
        <v>20</v>
      </c>
      <c r="G21" s="3">
        <f t="shared" si="2"/>
        <v>20</v>
      </c>
      <c r="H21" s="3">
        <v>4</v>
      </c>
      <c r="I21" s="3">
        <v>2</v>
      </c>
      <c r="J21" s="3" t="s">
        <v>245</v>
      </c>
      <c r="K21" s="3" t="s">
        <v>251</v>
      </c>
      <c r="L21" s="3" t="s">
        <v>257</v>
      </c>
      <c r="M21" s="6">
        <f t="shared" si="3"/>
        <v>4</v>
      </c>
      <c r="N21" s="4"/>
      <c r="O21" s="4"/>
    </row>
    <row r="22" spans="1:15" x14ac:dyDescent="0.25">
      <c r="A22" s="1" t="s">
        <v>64</v>
      </c>
      <c r="B22" s="3" t="s">
        <v>65</v>
      </c>
      <c r="C22" s="3">
        <v>45</v>
      </c>
      <c r="D22" s="3">
        <v>21</v>
      </c>
      <c r="E22" s="3">
        <f t="shared" si="0"/>
        <v>21</v>
      </c>
      <c r="F22" s="3">
        <f t="shared" si="1"/>
        <v>24</v>
      </c>
      <c r="G22" s="3">
        <f t="shared" si="2"/>
        <v>21</v>
      </c>
      <c r="H22" s="3">
        <v>4</v>
      </c>
      <c r="I22" s="3">
        <v>3</v>
      </c>
      <c r="J22" s="3" t="s">
        <v>246</v>
      </c>
      <c r="K22" s="3" t="s">
        <v>251</v>
      </c>
      <c r="L22" s="3" t="s">
        <v>257</v>
      </c>
      <c r="M22" s="6">
        <f t="shared" si="3"/>
        <v>4</v>
      </c>
      <c r="N22" s="4"/>
      <c r="O22" s="4"/>
    </row>
    <row r="23" spans="1:15" x14ac:dyDescent="0.25">
      <c r="A23" s="1" t="s">
        <v>196</v>
      </c>
      <c r="B23" s="3" t="s">
        <v>197</v>
      </c>
      <c r="C23" s="3">
        <v>48</v>
      </c>
      <c r="D23" s="3">
        <v>22</v>
      </c>
      <c r="E23" s="3">
        <f t="shared" si="0"/>
        <v>22</v>
      </c>
      <c r="F23" s="3">
        <f t="shared" si="1"/>
        <v>26</v>
      </c>
      <c r="G23" s="3">
        <f t="shared" si="2"/>
        <v>22</v>
      </c>
      <c r="H23" s="3">
        <v>4</v>
      </c>
      <c r="I23" s="3">
        <v>4</v>
      </c>
      <c r="J23" s="3" t="s">
        <v>246</v>
      </c>
      <c r="K23" s="3" t="s">
        <v>251</v>
      </c>
      <c r="L23" s="3" t="s">
        <v>257</v>
      </c>
      <c r="M23" s="6">
        <f t="shared" si="3"/>
        <v>4</v>
      </c>
      <c r="N23" s="4"/>
      <c r="O23" s="4"/>
    </row>
    <row r="24" spans="1:15" x14ac:dyDescent="0.25">
      <c r="A24" s="1" t="s">
        <v>204</v>
      </c>
      <c r="B24" s="3" t="s">
        <v>205</v>
      </c>
      <c r="C24" s="3">
        <v>51</v>
      </c>
      <c r="D24" s="3">
        <v>23</v>
      </c>
      <c r="E24" s="3">
        <f t="shared" si="0"/>
        <v>23</v>
      </c>
      <c r="F24" s="3">
        <f t="shared" si="1"/>
        <v>28</v>
      </c>
      <c r="G24" s="3">
        <f t="shared" si="2"/>
        <v>23</v>
      </c>
      <c r="H24" s="3">
        <v>4</v>
      </c>
      <c r="I24" s="3">
        <v>5</v>
      </c>
      <c r="J24" s="3" t="s">
        <v>246</v>
      </c>
      <c r="K24" s="3" t="s">
        <v>251</v>
      </c>
      <c r="L24" s="3" t="s">
        <v>257</v>
      </c>
      <c r="M24" s="6">
        <f t="shared" si="3"/>
        <v>4</v>
      </c>
      <c r="N24" s="4"/>
      <c r="O24" s="4"/>
    </row>
    <row r="25" spans="1:15" x14ac:dyDescent="0.25">
      <c r="A25" s="1" t="s">
        <v>54</v>
      </c>
      <c r="B25" s="3" t="s">
        <v>55</v>
      </c>
      <c r="C25" s="3">
        <v>52</v>
      </c>
      <c r="D25" s="3">
        <v>24</v>
      </c>
      <c r="E25" s="3">
        <f t="shared" si="0"/>
        <v>24</v>
      </c>
      <c r="F25" s="3">
        <f t="shared" si="1"/>
        <v>28</v>
      </c>
      <c r="G25" s="3">
        <f t="shared" si="2"/>
        <v>24</v>
      </c>
      <c r="H25" s="3">
        <v>4</v>
      </c>
      <c r="I25" s="3">
        <v>6</v>
      </c>
      <c r="J25" s="3" t="s">
        <v>246</v>
      </c>
      <c r="K25" s="3" t="s">
        <v>251</v>
      </c>
      <c r="L25" s="3" t="s">
        <v>257</v>
      </c>
      <c r="M25" s="6">
        <f t="shared" si="3"/>
        <v>4</v>
      </c>
      <c r="N25" s="4"/>
      <c r="O25" s="4"/>
    </row>
    <row r="26" spans="1:15" x14ac:dyDescent="0.25">
      <c r="A26" s="1" t="s">
        <v>115</v>
      </c>
      <c r="B26" s="3" t="s">
        <v>116</v>
      </c>
      <c r="C26" s="3">
        <v>55</v>
      </c>
      <c r="D26" s="3">
        <v>25</v>
      </c>
      <c r="E26" s="3">
        <f t="shared" si="0"/>
        <v>25</v>
      </c>
      <c r="F26" s="3">
        <f t="shared" si="1"/>
        <v>30</v>
      </c>
      <c r="G26" s="3">
        <f t="shared" si="2"/>
        <v>25</v>
      </c>
      <c r="H26" s="3">
        <v>4</v>
      </c>
      <c r="I26" s="3">
        <v>7</v>
      </c>
      <c r="J26" s="3" t="s">
        <v>246</v>
      </c>
      <c r="K26" s="3" t="s">
        <v>251</v>
      </c>
      <c r="L26" s="3" t="s">
        <v>257</v>
      </c>
      <c r="M26" s="6">
        <f t="shared" si="3"/>
        <v>4</v>
      </c>
      <c r="N26" s="4"/>
      <c r="O26" s="4"/>
    </row>
    <row r="27" spans="1:15" x14ac:dyDescent="0.25">
      <c r="A27" s="1" t="s">
        <v>94</v>
      </c>
      <c r="B27" s="3" t="s">
        <v>95</v>
      </c>
      <c r="C27" s="3">
        <v>56</v>
      </c>
      <c r="D27" s="3">
        <v>26</v>
      </c>
      <c r="E27" s="3">
        <f t="shared" si="0"/>
        <v>26</v>
      </c>
      <c r="F27" s="3">
        <f t="shared" si="1"/>
        <v>30</v>
      </c>
      <c r="G27" s="3">
        <f t="shared" si="2"/>
        <v>26</v>
      </c>
      <c r="H27" s="3">
        <v>4</v>
      </c>
      <c r="I27" s="3">
        <v>8</v>
      </c>
      <c r="J27" s="3" t="s">
        <v>246</v>
      </c>
      <c r="K27" s="3" t="s">
        <v>251</v>
      </c>
      <c r="L27" s="3" t="s">
        <v>257</v>
      </c>
      <c r="M27" s="6">
        <f t="shared" si="3"/>
        <v>4</v>
      </c>
      <c r="N27" s="4"/>
      <c r="O27" s="4"/>
    </row>
    <row r="28" spans="1:15" x14ac:dyDescent="0.25">
      <c r="A28" s="1" t="s">
        <v>50</v>
      </c>
      <c r="B28" s="3" t="s">
        <v>51</v>
      </c>
      <c r="C28" s="3">
        <v>59</v>
      </c>
      <c r="D28" s="3">
        <v>27</v>
      </c>
      <c r="E28" s="3">
        <f t="shared" si="0"/>
        <v>27</v>
      </c>
      <c r="F28" s="3">
        <f t="shared" si="1"/>
        <v>32</v>
      </c>
      <c r="G28" s="3">
        <f t="shared" si="2"/>
        <v>27</v>
      </c>
      <c r="H28" s="3">
        <v>4</v>
      </c>
      <c r="I28" s="3">
        <v>9</v>
      </c>
      <c r="J28" s="3" t="s">
        <v>246</v>
      </c>
      <c r="K28" s="3" t="s">
        <v>251</v>
      </c>
      <c r="L28" s="3" t="s">
        <v>257</v>
      </c>
      <c r="M28" s="6">
        <f t="shared" si="3"/>
        <v>4</v>
      </c>
      <c r="N28" s="4"/>
      <c r="O28" s="4"/>
    </row>
    <row r="29" spans="1:15" x14ac:dyDescent="0.25">
      <c r="A29" s="1" t="s">
        <v>133</v>
      </c>
      <c r="B29" s="3" t="s">
        <v>134</v>
      </c>
      <c r="C29" s="3">
        <v>59</v>
      </c>
      <c r="D29" s="3">
        <v>28</v>
      </c>
      <c r="E29" s="3">
        <f t="shared" si="0"/>
        <v>28</v>
      </c>
      <c r="F29" s="3">
        <f t="shared" si="1"/>
        <v>31</v>
      </c>
      <c r="G29" s="3">
        <f t="shared" si="2"/>
        <v>28</v>
      </c>
      <c r="H29" s="3">
        <v>4</v>
      </c>
      <c r="I29" s="3">
        <v>10</v>
      </c>
      <c r="J29" s="3" t="s">
        <v>246</v>
      </c>
      <c r="K29" s="3" t="s">
        <v>251</v>
      </c>
      <c r="L29" s="3" t="s">
        <v>257</v>
      </c>
      <c r="M29" s="6">
        <f t="shared" si="3"/>
        <v>4</v>
      </c>
      <c r="N29" s="4"/>
      <c r="O29" s="4"/>
    </row>
    <row r="30" spans="1:15" x14ac:dyDescent="0.25">
      <c r="A30" s="1" t="s">
        <v>52</v>
      </c>
      <c r="B30" s="3" t="s">
        <v>53</v>
      </c>
      <c r="C30" s="3">
        <v>64</v>
      </c>
      <c r="D30" s="3">
        <v>29</v>
      </c>
      <c r="E30" s="3">
        <f t="shared" si="0"/>
        <v>29</v>
      </c>
      <c r="F30" s="3">
        <f t="shared" si="1"/>
        <v>35</v>
      </c>
      <c r="G30" s="3">
        <f t="shared" si="2"/>
        <v>29</v>
      </c>
      <c r="H30" s="3">
        <v>4</v>
      </c>
      <c r="I30" s="3">
        <v>11</v>
      </c>
      <c r="J30" s="3" t="s">
        <v>246</v>
      </c>
      <c r="K30" s="3" t="s">
        <v>251</v>
      </c>
      <c r="L30" s="3" t="s">
        <v>257</v>
      </c>
      <c r="M30" s="6">
        <f t="shared" si="3"/>
        <v>4</v>
      </c>
      <c r="N30" s="4"/>
      <c r="O30" s="4"/>
    </row>
    <row r="31" spans="1:15" x14ac:dyDescent="0.25">
      <c r="A31" s="1" t="s">
        <v>210</v>
      </c>
      <c r="B31" s="3" t="s">
        <v>211</v>
      </c>
      <c r="C31" s="3">
        <v>65</v>
      </c>
      <c r="D31" s="3">
        <v>30</v>
      </c>
      <c r="E31" s="3">
        <f t="shared" si="0"/>
        <v>30</v>
      </c>
      <c r="F31" s="3">
        <f t="shared" si="1"/>
        <v>35</v>
      </c>
      <c r="G31" s="3">
        <f t="shared" si="2"/>
        <v>30</v>
      </c>
      <c r="H31" s="3">
        <v>4</v>
      </c>
      <c r="I31" s="3">
        <v>12</v>
      </c>
      <c r="J31" s="3" t="s">
        <v>246</v>
      </c>
      <c r="K31" s="3" t="s">
        <v>251</v>
      </c>
      <c r="L31" s="3" t="s">
        <v>257</v>
      </c>
      <c r="M31" s="6">
        <f t="shared" si="3"/>
        <v>4</v>
      </c>
      <c r="N31" s="4"/>
      <c r="O31" s="4"/>
    </row>
    <row r="32" spans="1:15" x14ac:dyDescent="0.25">
      <c r="A32" s="1" t="s">
        <v>82</v>
      </c>
      <c r="B32" s="3" t="s">
        <v>83</v>
      </c>
      <c r="C32" s="3">
        <v>70</v>
      </c>
      <c r="D32" s="3">
        <v>31</v>
      </c>
      <c r="E32" s="3">
        <f t="shared" si="0"/>
        <v>31</v>
      </c>
      <c r="F32" s="3">
        <f t="shared" si="1"/>
        <v>39</v>
      </c>
      <c r="G32" s="3">
        <f t="shared" si="2"/>
        <v>31</v>
      </c>
      <c r="H32" s="3">
        <v>4</v>
      </c>
      <c r="I32" s="3">
        <v>13</v>
      </c>
      <c r="J32" s="3" t="s">
        <v>245</v>
      </c>
      <c r="K32" s="3" t="s">
        <v>249</v>
      </c>
      <c r="L32" s="3" t="s">
        <v>257</v>
      </c>
      <c r="M32" s="6">
        <f t="shared" si="3"/>
        <v>4</v>
      </c>
      <c r="N32" s="4"/>
      <c r="O32" s="4"/>
    </row>
    <row r="33" spans="1:15" x14ac:dyDescent="0.25">
      <c r="A33" s="1" t="s">
        <v>84</v>
      </c>
      <c r="B33" s="3" t="s">
        <v>85</v>
      </c>
      <c r="C33" s="3">
        <v>73</v>
      </c>
      <c r="D33" s="3">
        <v>32</v>
      </c>
      <c r="E33" s="3">
        <f t="shared" si="0"/>
        <v>32</v>
      </c>
      <c r="F33" s="3">
        <f t="shared" si="1"/>
        <v>41</v>
      </c>
      <c r="G33" s="3">
        <f t="shared" si="2"/>
        <v>32</v>
      </c>
      <c r="H33" s="3">
        <v>4</v>
      </c>
      <c r="I33" s="3">
        <v>14</v>
      </c>
      <c r="J33" s="3" t="s">
        <v>245</v>
      </c>
      <c r="K33" s="3" t="s">
        <v>251</v>
      </c>
      <c r="L33" s="3" t="s">
        <v>257</v>
      </c>
      <c r="M33" s="6">
        <f t="shared" si="3"/>
        <v>4</v>
      </c>
      <c r="N33" s="4"/>
      <c r="O33" s="4"/>
    </row>
    <row r="34" spans="1:15" x14ac:dyDescent="0.25">
      <c r="A34" s="1" t="s">
        <v>16</v>
      </c>
      <c r="B34" s="3" t="s">
        <v>17</v>
      </c>
      <c r="C34" s="3">
        <v>75</v>
      </c>
      <c r="D34" s="3">
        <v>33</v>
      </c>
      <c r="E34" s="3">
        <f t="shared" ref="E34:E65" si="4">D34</f>
        <v>33</v>
      </c>
      <c r="F34" s="3">
        <f t="shared" ref="F34:F65" si="5">C34-D34</f>
        <v>42</v>
      </c>
      <c r="G34" s="3">
        <f t="shared" ref="G34:G65" si="6">D34</f>
        <v>33</v>
      </c>
      <c r="H34" s="3">
        <v>4</v>
      </c>
      <c r="I34" s="3">
        <v>15</v>
      </c>
      <c r="J34" s="3" t="s">
        <v>245</v>
      </c>
      <c r="K34" s="3" t="s">
        <v>251</v>
      </c>
      <c r="L34" s="7" t="s">
        <v>4</v>
      </c>
      <c r="M34" s="6">
        <f t="shared" si="3"/>
        <v>4</v>
      </c>
      <c r="N34" s="4"/>
      <c r="O34" s="4"/>
    </row>
    <row r="35" spans="1:15" x14ac:dyDescent="0.25">
      <c r="A35" s="1" t="s">
        <v>182</v>
      </c>
      <c r="B35" s="3" t="s">
        <v>183</v>
      </c>
      <c r="C35" s="3">
        <v>79</v>
      </c>
      <c r="D35" s="3">
        <v>34</v>
      </c>
      <c r="E35" s="3">
        <f t="shared" si="4"/>
        <v>34</v>
      </c>
      <c r="F35" s="3">
        <f t="shared" si="5"/>
        <v>45</v>
      </c>
      <c r="G35" s="3">
        <f t="shared" si="6"/>
        <v>34</v>
      </c>
      <c r="H35" s="3">
        <v>4</v>
      </c>
      <c r="I35" s="3">
        <v>16</v>
      </c>
      <c r="J35" s="3" t="s">
        <v>245</v>
      </c>
      <c r="K35" s="3" t="s">
        <v>251</v>
      </c>
      <c r="L35" s="7" t="s">
        <v>4</v>
      </c>
      <c r="M35" s="6">
        <f t="shared" si="3"/>
        <v>4</v>
      </c>
      <c r="N35" s="4"/>
      <c r="O35" s="4"/>
    </row>
    <row r="36" spans="1:15" x14ac:dyDescent="0.25">
      <c r="A36" s="1" t="s">
        <v>34</v>
      </c>
      <c r="B36" s="3" t="s">
        <v>35</v>
      </c>
      <c r="C36" s="3">
        <v>80</v>
      </c>
      <c r="D36" s="3">
        <v>35</v>
      </c>
      <c r="E36" s="3">
        <f t="shared" si="4"/>
        <v>35</v>
      </c>
      <c r="F36" s="3">
        <f t="shared" si="5"/>
        <v>45</v>
      </c>
      <c r="G36" s="3">
        <f t="shared" si="6"/>
        <v>35</v>
      </c>
      <c r="H36" s="3">
        <v>4</v>
      </c>
      <c r="I36" s="3">
        <v>17</v>
      </c>
      <c r="J36" s="3" t="s">
        <v>245</v>
      </c>
      <c r="K36" s="3" t="s">
        <v>249</v>
      </c>
      <c r="L36" s="7" t="s">
        <v>4</v>
      </c>
      <c r="M36" s="6">
        <f t="shared" si="3"/>
        <v>4</v>
      </c>
      <c r="N36" s="4"/>
      <c r="O36" s="4"/>
    </row>
    <row r="37" spans="1:15" x14ac:dyDescent="0.25">
      <c r="A37" s="1" t="s">
        <v>22</v>
      </c>
      <c r="B37" s="3" t="s">
        <v>23</v>
      </c>
      <c r="C37" s="3">
        <v>137</v>
      </c>
      <c r="D37" s="3">
        <v>36</v>
      </c>
      <c r="E37" s="3">
        <f t="shared" si="4"/>
        <v>36</v>
      </c>
      <c r="F37" s="3">
        <f t="shared" si="5"/>
        <v>101</v>
      </c>
      <c r="G37" s="3">
        <f t="shared" si="6"/>
        <v>36</v>
      </c>
      <c r="H37" s="3">
        <v>4</v>
      </c>
      <c r="I37" s="3">
        <v>18</v>
      </c>
      <c r="J37" s="3" t="s">
        <v>245</v>
      </c>
      <c r="K37" s="3" t="s">
        <v>244</v>
      </c>
      <c r="L37" s="7" t="s">
        <v>4</v>
      </c>
      <c r="M37" s="6">
        <f t="shared" si="3"/>
        <v>4</v>
      </c>
      <c r="N37" s="4"/>
      <c r="O37" s="4"/>
    </row>
    <row r="38" spans="1:15" x14ac:dyDescent="0.25">
      <c r="A38" s="1" t="s">
        <v>172</v>
      </c>
      <c r="B38" s="3" t="s">
        <v>173</v>
      </c>
      <c r="C38" s="3">
        <v>85</v>
      </c>
      <c r="D38" s="3">
        <v>37</v>
      </c>
      <c r="E38" s="3">
        <f t="shared" si="4"/>
        <v>37</v>
      </c>
      <c r="F38" s="3">
        <f t="shared" si="5"/>
        <v>48</v>
      </c>
      <c r="G38" s="3">
        <f t="shared" si="6"/>
        <v>37</v>
      </c>
      <c r="H38" s="3">
        <v>5</v>
      </c>
      <c r="I38" s="3">
        <v>1</v>
      </c>
      <c r="J38" s="3" t="s">
        <v>245</v>
      </c>
      <c r="K38" s="3" t="s">
        <v>251</v>
      </c>
      <c r="L38" s="3" t="s">
        <v>257</v>
      </c>
      <c r="M38" s="6">
        <f t="shared" si="3"/>
        <v>5</v>
      </c>
      <c r="N38" s="4"/>
      <c r="O38" s="4"/>
    </row>
    <row r="39" spans="1:15" x14ac:dyDescent="0.25">
      <c r="A39" s="1" t="s">
        <v>68</v>
      </c>
      <c r="B39" s="3" t="s">
        <v>69</v>
      </c>
      <c r="C39" s="3">
        <v>87</v>
      </c>
      <c r="D39" s="3">
        <v>38</v>
      </c>
      <c r="E39" s="3">
        <f t="shared" si="4"/>
        <v>38</v>
      </c>
      <c r="F39" s="3">
        <f t="shared" si="5"/>
        <v>49</v>
      </c>
      <c r="G39" s="3">
        <f t="shared" si="6"/>
        <v>38</v>
      </c>
      <c r="H39" s="3">
        <v>5</v>
      </c>
      <c r="I39" s="3">
        <v>2</v>
      </c>
      <c r="J39" s="3" t="s">
        <v>245</v>
      </c>
      <c r="K39" s="3" t="s">
        <v>251</v>
      </c>
      <c r="L39" s="3" t="s">
        <v>257</v>
      </c>
      <c r="M39" s="6">
        <f t="shared" si="3"/>
        <v>5</v>
      </c>
      <c r="N39" s="4"/>
      <c r="O39" s="4"/>
    </row>
    <row r="40" spans="1:15" x14ac:dyDescent="0.25">
      <c r="A40" s="1" t="s">
        <v>105</v>
      </c>
      <c r="B40" s="3" t="s">
        <v>106</v>
      </c>
      <c r="C40" s="3">
        <v>89</v>
      </c>
      <c r="D40" s="3">
        <v>39</v>
      </c>
      <c r="E40" s="3">
        <f t="shared" si="4"/>
        <v>39</v>
      </c>
      <c r="F40" s="3">
        <f t="shared" si="5"/>
        <v>50</v>
      </c>
      <c r="G40" s="3">
        <f t="shared" si="6"/>
        <v>39</v>
      </c>
      <c r="H40" s="3">
        <v>5</v>
      </c>
      <c r="I40" s="3">
        <v>3</v>
      </c>
      <c r="J40" s="3" t="s">
        <v>246</v>
      </c>
      <c r="K40" s="3" t="s">
        <v>251</v>
      </c>
      <c r="L40" s="3" t="s">
        <v>257</v>
      </c>
      <c r="M40" s="6">
        <f t="shared" si="3"/>
        <v>5</v>
      </c>
      <c r="N40" s="4"/>
      <c r="O40" s="4"/>
    </row>
    <row r="41" spans="1:15" x14ac:dyDescent="0.25">
      <c r="A41" s="1" t="s">
        <v>212</v>
      </c>
      <c r="B41" s="3" t="s">
        <v>213</v>
      </c>
      <c r="C41" s="3">
        <v>89</v>
      </c>
      <c r="D41" s="3">
        <v>40</v>
      </c>
      <c r="E41" s="3">
        <f t="shared" si="4"/>
        <v>40</v>
      </c>
      <c r="F41" s="3">
        <f t="shared" si="5"/>
        <v>49</v>
      </c>
      <c r="G41" s="3">
        <f t="shared" si="6"/>
        <v>40</v>
      </c>
      <c r="H41" s="3">
        <v>5</v>
      </c>
      <c r="I41" s="3">
        <v>4</v>
      </c>
      <c r="J41" s="3" t="s">
        <v>246</v>
      </c>
      <c r="K41" s="3" t="s">
        <v>251</v>
      </c>
      <c r="L41" s="3" t="s">
        <v>257</v>
      </c>
      <c r="M41" s="6">
        <f t="shared" si="3"/>
        <v>5</v>
      </c>
      <c r="N41" s="4"/>
      <c r="O41" s="4"/>
    </row>
    <row r="42" spans="1:15" x14ac:dyDescent="0.25">
      <c r="A42" s="1" t="s">
        <v>131</v>
      </c>
      <c r="B42" s="3" t="s">
        <v>132</v>
      </c>
      <c r="C42" s="3">
        <v>93</v>
      </c>
      <c r="D42" s="3">
        <v>41</v>
      </c>
      <c r="E42" s="3">
        <f t="shared" si="4"/>
        <v>41</v>
      </c>
      <c r="F42" s="3">
        <f t="shared" si="5"/>
        <v>52</v>
      </c>
      <c r="G42" s="3">
        <f t="shared" si="6"/>
        <v>41</v>
      </c>
      <c r="H42" s="3">
        <v>5</v>
      </c>
      <c r="I42" s="3">
        <v>5</v>
      </c>
      <c r="J42" s="3" t="s">
        <v>246</v>
      </c>
      <c r="K42" s="3" t="s">
        <v>251</v>
      </c>
      <c r="L42" s="3" t="s">
        <v>257</v>
      </c>
      <c r="M42" s="6">
        <f t="shared" si="3"/>
        <v>5</v>
      </c>
      <c r="N42" s="4"/>
      <c r="O42" s="4"/>
    </row>
    <row r="43" spans="1:15" x14ac:dyDescent="0.25">
      <c r="A43" s="1" t="s">
        <v>123</v>
      </c>
      <c r="B43" s="3" t="s">
        <v>124</v>
      </c>
      <c r="C43" s="3">
        <v>96</v>
      </c>
      <c r="D43" s="3">
        <v>42</v>
      </c>
      <c r="E43" s="3">
        <f t="shared" si="4"/>
        <v>42</v>
      </c>
      <c r="F43" s="3">
        <f t="shared" si="5"/>
        <v>54</v>
      </c>
      <c r="G43" s="3">
        <f t="shared" si="6"/>
        <v>42</v>
      </c>
      <c r="H43" s="3">
        <v>5</v>
      </c>
      <c r="I43" s="3">
        <v>6</v>
      </c>
      <c r="J43" s="3" t="s">
        <v>246</v>
      </c>
      <c r="K43" s="3" t="s">
        <v>251</v>
      </c>
      <c r="L43" s="3" t="s">
        <v>257</v>
      </c>
      <c r="M43" s="6">
        <f t="shared" si="3"/>
        <v>5</v>
      </c>
      <c r="N43" s="4"/>
      <c r="O43" s="4"/>
    </row>
    <row r="44" spans="1:15" x14ac:dyDescent="0.25">
      <c r="A44" s="1" t="s">
        <v>191</v>
      </c>
      <c r="B44" s="3" t="s">
        <v>192</v>
      </c>
      <c r="C44" s="3">
        <v>99</v>
      </c>
      <c r="D44" s="3">
        <v>43</v>
      </c>
      <c r="E44" s="3">
        <f t="shared" si="4"/>
        <v>43</v>
      </c>
      <c r="F44" s="3">
        <f t="shared" si="5"/>
        <v>56</v>
      </c>
      <c r="G44" s="3">
        <f t="shared" si="6"/>
        <v>43</v>
      </c>
      <c r="H44" s="3">
        <v>5</v>
      </c>
      <c r="I44" s="3">
        <v>7</v>
      </c>
      <c r="J44" s="3" t="s">
        <v>246</v>
      </c>
      <c r="K44" s="3" t="s">
        <v>250</v>
      </c>
      <c r="L44" s="3" t="s">
        <v>257</v>
      </c>
      <c r="M44" s="6">
        <f t="shared" si="3"/>
        <v>5</v>
      </c>
      <c r="N44" s="4"/>
      <c r="O44" s="4"/>
    </row>
    <row r="45" spans="1:15" x14ac:dyDescent="0.25">
      <c r="A45" s="1" t="s">
        <v>174</v>
      </c>
      <c r="B45" s="3" t="s">
        <v>175</v>
      </c>
      <c r="C45" s="3">
        <v>101</v>
      </c>
      <c r="D45" s="3">
        <v>44</v>
      </c>
      <c r="E45" s="3">
        <f t="shared" si="4"/>
        <v>44</v>
      </c>
      <c r="F45" s="3">
        <f t="shared" si="5"/>
        <v>57</v>
      </c>
      <c r="G45" s="3">
        <f t="shared" si="6"/>
        <v>44</v>
      </c>
      <c r="H45" s="3">
        <v>5</v>
      </c>
      <c r="I45" s="3">
        <v>8</v>
      </c>
      <c r="J45" s="3" t="s">
        <v>246</v>
      </c>
      <c r="K45" s="3" t="s">
        <v>251</v>
      </c>
      <c r="L45" s="3" t="s">
        <v>257</v>
      </c>
      <c r="M45" s="6">
        <f t="shared" si="3"/>
        <v>5</v>
      </c>
      <c r="N45" s="4"/>
      <c r="O45" s="4"/>
    </row>
    <row r="46" spans="1:15" x14ac:dyDescent="0.25">
      <c r="A46" s="1" t="s">
        <v>170</v>
      </c>
      <c r="B46" s="3" t="s">
        <v>171</v>
      </c>
      <c r="C46" s="3">
        <v>103</v>
      </c>
      <c r="D46" s="3">
        <v>45</v>
      </c>
      <c r="E46" s="3">
        <f t="shared" si="4"/>
        <v>45</v>
      </c>
      <c r="F46" s="3">
        <f t="shared" si="5"/>
        <v>58</v>
      </c>
      <c r="G46" s="3">
        <f t="shared" si="6"/>
        <v>45</v>
      </c>
      <c r="H46" s="3">
        <v>5</v>
      </c>
      <c r="I46" s="3">
        <v>9</v>
      </c>
      <c r="J46" s="3" t="s">
        <v>246</v>
      </c>
      <c r="K46" s="3" t="s">
        <v>251</v>
      </c>
      <c r="L46" s="3" t="s">
        <v>257</v>
      </c>
      <c r="M46" s="6">
        <f t="shared" si="3"/>
        <v>5</v>
      </c>
      <c r="N46" s="4"/>
      <c r="O46" s="4"/>
    </row>
    <row r="47" spans="1:15" x14ac:dyDescent="0.25">
      <c r="A47" s="1" t="s">
        <v>144</v>
      </c>
      <c r="B47" s="3" t="s">
        <v>145</v>
      </c>
      <c r="C47" s="3">
        <v>106</v>
      </c>
      <c r="D47" s="3">
        <v>46</v>
      </c>
      <c r="E47" s="3">
        <f t="shared" si="4"/>
        <v>46</v>
      </c>
      <c r="F47" s="3">
        <f t="shared" si="5"/>
        <v>60</v>
      </c>
      <c r="G47" s="3">
        <f t="shared" si="6"/>
        <v>46</v>
      </c>
      <c r="H47" s="3">
        <v>5</v>
      </c>
      <c r="I47" s="3">
        <v>10</v>
      </c>
      <c r="J47" s="3" t="s">
        <v>246</v>
      </c>
      <c r="K47" s="3" t="s">
        <v>251</v>
      </c>
      <c r="L47" s="3" t="s">
        <v>257</v>
      </c>
      <c r="M47" s="6">
        <f t="shared" si="3"/>
        <v>5</v>
      </c>
      <c r="N47" s="4"/>
      <c r="O47" s="4"/>
    </row>
    <row r="48" spans="1:15" x14ac:dyDescent="0.25">
      <c r="A48" s="1" t="s">
        <v>146</v>
      </c>
      <c r="B48" s="3" t="s">
        <v>147</v>
      </c>
      <c r="C48" s="3">
        <v>108</v>
      </c>
      <c r="D48" s="3">
        <v>47</v>
      </c>
      <c r="E48" s="3">
        <f t="shared" si="4"/>
        <v>47</v>
      </c>
      <c r="F48" s="3">
        <f t="shared" si="5"/>
        <v>61</v>
      </c>
      <c r="G48" s="3">
        <f t="shared" si="6"/>
        <v>47</v>
      </c>
      <c r="H48" s="3">
        <v>5</v>
      </c>
      <c r="I48" s="3">
        <v>11</v>
      </c>
      <c r="J48" s="3" t="s">
        <v>246</v>
      </c>
      <c r="K48" s="3" t="s">
        <v>251</v>
      </c>
      <c r="L48" s="3" t="s">
        <v>257</v>
      </c>
      <c r="M48" s="6">
        <f t="shared" si="3"/>
        <v>5</v>
      </c>
      <c r="N48" s="4"/>
      <c r="O48" s="4"/>
    </row>
    <row r="49" spans="1:15" x14ac:dyDescent="0.25">
      <c r="A49" s="1" t="s">
        <v>36</v>
      </c>
      <c r="B49" s="3" t="s">
        <v>37</v>
      </c>
      <c r="C49" s="3">
        <v>112</v>
      </c>
      <c r="D49" s="3">
        <v>48</v>
      </c>
      <c r="E49" s="3">
        <f t="shared" si="4"/>
        <v>48</v>
      </c>
      <c r="F49" s="3">
        <f t="shared" si="5"/>
        <v>64</v>
      </c>
      <c r="G49" s="3">
        <f t="shared" si="6"/>
        <v>48</v>
      </c>
      <c r="H49" s="3">
        <v>5</v>
      </c>
      <c r="I49" s="3">
        <v>12</v>
      </c>
      <c r="J49" s="3" t="s">
        <v>246</v>
      </c>
      <c r="K49" s="3" t="s">
        <v>251</v>
      </c>
      <c r="L49" s="3" t="s">
        <v>257</v>
      </c>
      <c r="M49" s="6">
        <f t="shared" si="3"/>
        <v>5</v>
      </c>
      <c r="N49" s="4"/>
      <c r="O49" s="4"/>
    </row>
    <row r="50" spans="1:15" x14ac:dyDescent="0.25">
      <c r="A50" s="1" t="s">
        <v>98</v>
      </c>
      <c r="B50" s="3" t="s">
        <v>99</v>
      </c>
      <c r="C50" s="3">
        <v>115</v>
      </c>
      <c r="D50" s="3">
        <v>49</v>
      </c>
      <c r="E50" s="3">
        <f t="shared" si="4"/>
        <v>49</v>
      </c>
      <c r="F50" s="3">
        <f t="shared" si="5"/>
        <v>66</v>
      </c>
      <c r="G50" s="3">
        <f t="shared" si="6"/>
        <v>49</v>
      </c>
      <c r="H50" s="3">
        <v>5</v>
      </c>
      <c r="I50" s="3">
        <v>13</v>
      </c>
      <c r="J50" s="3" t="s">
        <v>245</v>
      </c>
      <c r="K50" s="3" t="s">
        <v>251</v>
      </c>
      <c r="L50" s="3" t="s">
        <v>257</v>
      </c>
      <c r="M50" s="6">
        <f t="shared" si="3"/>
        <v>5</v>
      </c>
      <c r="N50" s="4"/>
      <c r="O50" s="4"/>
    </row>
    <row r="51" spans="1:15" x14ac:dyDescent="0.25">
      <c r="A51" s="1" t="s">
        <v>66</v>
      </c>
      <c r="B51" s="3" t="s">
        <v>67</v>
      </c>
      <c r="C51" s="3">
        <v>118</v>
      </c>
      <c r="D51" s="3">
        <v>50</v>
      </c>
      <c r="E51" s="3">
        <f t="shared" si="4"/>
        <v>50</v>
      </c>
      <c r="F51" s="3">
        <f t="shared" si="5"/>
        <v>68</v>
      </c>
      <c r="G51" s="3">
        <f t="shared" si="6"/>
        <v>50</v>
      </c>
      <c r="H51" s="3">
        <v>5</v>
      </c>
      <c r="I51" s="3">
        <v>14</v>
      </c>
      <c r="J51" s="3" t="s">
        <v>245</v>
      </c>
      <c r="K51" s="3" t="s">
        <v>251</v>
      </c>
      <c r="L51" s="3" t="s">
        <v>257</v>
      </c>
      <c r="M51" s="6">
        <f t="shared" si="3"/>
        <v>5</v>
      </c>
      <c r="N51" s="4"/>
      <c r="O51" s="4"/>
    </row>
    <row r="52" spans="1:15" x14ac:dyDescent="0.25">
      <c r="A52" s="1" t="s">
        <v>12</v>
      </c>
      <c r="B52" s="3" t="s">
        <v>13</v>
      </c>
      <c r="C52" s="3">
        <v>122</v>
      </c>
      <c r="D52" s="3">
        <v>51</v>
      </c>
      <c r="E52" s="3">
        <f t="shared" si="4"/>
        <v>51</v>
      </c>
      <c r="F52" s="3">
        <f t="shared" si="5"/>
        <v>71</v>
      </c>
      <c r="G52" s="3">
        <f t="shared" si="6"/>
        <v>51</v>
      </c>
      <c r="H52" s="3">
        <v>5</v>
      </c>
      <c r="I52" s="3">
        <v>15</v>
      </c>
      <c r="J52" s="3" t="s">
        <v>245</v>
      </c>
      <c r="K52" s="3" t="s">
        <v>251</v>
      </c>
      <c r="L52" s="3" t="s">
        <v>257</v>
      </c>
      <c r="M52" s="6">
        <f t="shared" si="3"/>
        <v>5</v>
      </c>
      <c r="N52" s="4"/>
      <c r="O52" s="4"/>
    </row>
    <row r="53" spans="1:15" x14ac:dyDescent="0.25">
      <c r="A53" s="1" t="s">
        <v>216</v>
      </c>
      <c r="B53" s="3" t="s">
        <v>193</v>
      </c>
      <c r="C53" s="3">
        <v>128</v>
      </c>
      <c r="D53" s="3">
        <v>52</v>
      </c>
      <c r="E53" s="3">
        <f t="shared" si="4"/>
        <v>52</v>
      </c>
      <c r="F53" s="3">
        <f t="shared" si="5"/>
        <v>76</v>
      </c>
      <c r="G53" s="3">
        <f t="shared" si="6"/>
        <v>52</v>
      </c>
      <c r="H53" s="3">
        <v>5</v>
      </c>
      <c r="I53" s="3">
        <v>16</v>
      </c>
      <c r="J53" s="3" t="s">
        <v>245</v>
      </c>
      <c r="K53" s="3" t="s">
        <v>251</v>
      </c>
      <c r="L53" s="7" t="s">
        <v>4</v>
      </c>
      <c r="M53" s="6">
        <f t="shared" si="3"/>
        <v>5</v>
      </c>
      <c r="N53" s="4"/>
      <c r="O53" s="4"/>
    </row>
    <row r="54" spans="1:15" x14ac:dyDescent="0.25">
      <c r="A54" s="1" t="s">
        <v>217</v>
      </c>
      <c r="B54" s="3" t="s">
        <v>100</v>
      </c>
      <c r="C54" s="3">
        <v>127</v>
      </c>
      <c r="D54" s="3">
        <v>53</v>
      </c>
      <c r="E54" s="3">
        <f t="shared" si="4"/>
        <v>53</v>
      </c>
      <c r="F54" s="3">
        <f t="shared" si="5"/>
        <v>74</v>
      </c>
      <c r="G54" s="3">
        <f t="shared" si="6"/>
        <v>53</v>
      </c>
      <c r="H54" s="3">
        <v>5</v>
      </c>
      <c r="I54" s="3">
        <v>17</v>
      </c>
      <c r="J54" s="3" t="s">
        <v>245</v>
      </c>
      <c r="K54" s="3" t="s">
        <v>251</v>
      </c>
      <c r="L54" s="7" t="s">
        <v>4</v>
      </c>
      <c r="M54" s="6">
        <f t="shared" si="3"/>
        <v>5</v>
      </c>
      <c r="N54" s="4"/>
      <c r="O54" s="4"/>
    </row>
    <row r="55" spans="1:15" x14ac:dyDescent="0.25">
      <c r="A55" s="1" t="s">
        <v>208</v>
      </c>
      <c r="B55" s="3" t="s">
        <v>209</v>
      </c>
      <c r="C55" s="3">
        <v>131</v>
      </c>
      <c r="D55" s="3">
        <v>54</v>
      </c>
      <c r="E55" s="3">
        <f t="shared" si="4"/>
        <v>54</v>
      </c>
      <c r="F55" s="3">
        <f t="shared" si="5"/>
        <v>77</v>
      </c>
      <c r="G55" s="3">
        <f t="shared" si="6"/>
        <v>54</v>
      </c>
      <c r="H55" s="3">
        <v>5</v>
      </c>
      <c r="I55" s="3">
        <v>18</v>
      </c>
      <c r="J55" s="3" t="s">
        <v>245</v>
      </c>
      <c r="K55" s="3" t="s">
        <v>244</v>
      </c>
      <c r="L55" s="7" t="s">
        <v>4</v>
      </c>
      <c r="M55" s="6">
        <f t="shared" si="3"/>
        <v>5</v>
      </c>
      <c r="N55" s="4"/>
      <c r="O55" s="4"/>
    </row>
    <row r="56" spans="1:15" x14ac:dyDescent="0.25">
      <c r="A56" s="1" t="s">
        <v>46</v>
      </c>
      <c r="B56" s="3" t="s">
        <v>47</v>
      </c>
      <c r="C56" s="3">
        <v>133</v>
      </c>
      <c r="D56" s="3">
        <v>55</v>
      </c>
      <c r="E56" s="3">
        <f t="shared" si="4"/>
        <v>55</v>
      </c>
      <c r="F56" s="3">
        <f t="shared" si="5"/>
        <v>78</v>
      </c>
      <c r="G56" s="3">
        <f t="shared" si="6"/>
        <v>55</v>
      </c>
      <c r="H56" s="3">
        <v>6</v>
      </c>
      <c r="I56" s="3">
        <v>1</v>
      </c>
      <c r="J56" s="3" t="s">
        <v>245</v>
      </c>
      <c r="K56" s="3" t="s">
        <v>249</v>
      </c>
      <c r="L56" s="3" t="s">
        <v>257</v>
      </c>
      <c r="M56" s="6">
        <f t="shared" si="3"/>
        <v>6</v>
      </c>
      <c r="N56" s="4"/>
      <c r="O56" s="4"/>
    </row>
    <row r="57" spans="1:15" x14ac:dyDescent="0.25">
      <c r="A57" s="1" t="s">
        <v>22</v>
      </c>
      <c r="B57" s="3" t="s">
        <v>23</v>
      </c>
      <c r="C57" s="3">
        <v>137</v>
      </c>
      <c r="D57" s="3">
        <v>56</v>
      </c>
      <c r="E57" s="3">
        <f t="shared" si="4"/>
        <v>56</v>
      </c>
      <c r="F57" s="3">
        <f t="shared" si="5"/>
        <v>81</v>
      </c>
      <c r="G57" s="3">
        <f t="shared" si="6"/>
        <v>56</v>
      </c>
      <c r="H57" s="3">
        <v>6</v>
      </c>
      <c r="I57" s="3">
        <v>2</v>
      </c>
      <c r="J57" s="3" t="s">
        <v>245</v>
      </c>
      <c r="K57" s="3" t="s">
        <v>251</v>
      </c>
      <c r="L57" s="3" t="s">
        <v>257</v>
      </c>
      <c r="M57" s="6">
        <f t="shared" si="3"/>
        <v>6</v>
      </c>
      <c r="N57" s="4"/>
      <c r="O57" s="4"/>
    </row>
    <row r="58" spans="1:15" x14ac:dyDescent="0.25">
      <c r="A58" s="1" t="s">
        <v>107</v>
      </c>
      <c r="B58" s="3" t="s">
        <v>108</v>
      </c>
      <c r="C58" s="3">
        <v>139</v>
      </c>
      <c r="D58" s="3">
        <v>57</v>
      </c>
      <c r="E58" s="3">
        <f t="shared" si="4"/>
        <v>57</v>
      </c>
      <c r="F58" s="3">
        <f t="shared" si="5"/>
        <v>82</v>
      </c>
      <c r="G58" s="3">
        <f t="shared" si="6"/>
        <v>57</v>
      </c>
      <c r="H58" s="3">
        <v>6</v>
      </c>
      <c r="I58" s="7"/>
      <c r="J58" s="3" t="s">
        <v>247</v>
      </c>
      <c r="K58" s="3" t="s">
        <v>251</v>
      </c>
      <c r="L58" s="3" t="s">
        <v>257</v>
      </c>
      <c r="M58" s="6">
        <f t="shared" si="3"/>
        <v>6</v>
      </c>
      <c r="N58" s="4"/>
      <c r="O58" s="4"/>
    </row>
    <row r="59" spans="1:15" x14ac:dyDescent="0.25">
      <c r="A59" s="1" t="s">
        <v>44</v>
      </c>
      <c r="B59" s="3" t="s">
        <v>45</v>
      </c>
      <c r="C59" s="3">
        <v>140</v>
      </c>
      <c r="D59" s="3">
        <v>58</v>
      </c>
      <c r="E59" s="3">
        <f t="shared" si="4"/>
        <v>58</v>
      </c>
      <c r="F59" s="3">
        <f t="shared" si="5"/>
        <v>82</v>
      </c>
      <c r="G59" s="3">
        <f t="shared" si="6"/>
        <v>58</v>
      </c>
      <c r="H59" s="3">
        <v>6</v>
      </c>
      <c r="I59" s="7"/>
      <c r="J59" s="3" t="s">
        <v>247</v>
      </c>
      <c r="K59" s="3" t="s">
        <v>251</v>
      </c>
      <c r="L59" s="3" t="s">
        <v>257</v>
      </c>
      <c r="M59" s="6">
        <f t="shared" si="3"/>
        <v>6</v>
      </c>
      <c r="N59" s="4"/>
      <c r="O59" s="4"/>
    </row>
    <row r="60" spans="1:15" x14ac:dyDescent="0.25">
      <c r="A60" s="1" t="s">
        <v>158</v>
      </c>
      <c r="B60" s="3" t="s">
        <v>159</v>
      </c>
      <c r="C60" s="3">
        <v>141</v>
      </c>
      <c r="D60" s="3">
        <v>59</v>
      </c>
      <c r="E60" s="3">
        <f t="shared" si="4"/>
        <v>59</v>
      </c>
      <c r="F60" s="3">
        <f t="shared" si="5"/>
        <v>82</v>
      </c>
      <c r="G60" s="3">
        <f t="shared" si="6"/>
        <v>59</v>
      </c>
      <c r="H60" s="3">
        <v>6</v>
      </c>
      <c r="I60" s="7"/>
      <c r="J60" s="3" t="s">
        <v>247</v>
      </c>
      <c r="K60" s="3" t="s">
        <v>251</v>
      </c>
      <c r="L60" s="3" t="s">
        <v>257</v>
      </c>
      <c r="M60" s="6">
        <f t="shared" si="3"/>
        <v>6</v>
      </c>
      <c r="N60" s="4"/>
      <c r="O60" s="4"/>
    </row>
    <row r="61" spans="1:15" x14ac:dyDescent="0.25">
      <c r="A61" s="1" t="s">
        <v>125</v>
      </c>
      <c r="B61" s="3" t="s">
        <v>126</v>
      </c>
      <c r="C61" s="3">
        <v>144</v>
      </c>
      <c r="D61" s="3">
        <v>60</v>
      </c>
      <c r="E61" s="3">
        <f t="shared" si="4"/>
        <v>60</v>
      </c>
      <c r="F61" s="3">
        <f t="shared" si="5"/>
        <v>84</v>
      </c>
      <c r="G61" s="3">
        <f t="shared" si="6"/>
        <v>60</v>
      </c>
      <c r="H61" s="3">
        <v>6</v>
      </c>
      <c r="I61" s="7"/>
      <c r="J61" s="3" t="s">
        <v>247</v>
      </c>
      <c r="K61" s="3" t="s">
        <v>251</v>
      </c>
      <c r="L61" s="3" t="s">
        <v>257</v>
      </c>
      <c r="M61" s="6">
        <f t="shared" si="3"/>
        <v>6</v>
      </c>
      <c r="N61" s="4"/>
      <c r="O61" s="4"/>
    </row>
    <row r="62" spans="1:15" x14ac:dyDescent="0.25">
      <c r="A62" s="1" t="s">
        <v>160</v>
      </c>
      <c r="B62" s="3" t="s">
        <v>161</v>
      </c>
      <c r="C62" s="3">
        <v>147</v>
      </c>
      <c r="D62" s="3">
        <v>61</v>
      </c>
      <c r="E62" s="3">
        <f t="shared" si="4"/>
        <v>61</v>
      </c>
      <c r="F62" s="3">
        <f t="shared" si="5"/>
        <v>86</v>
      </c>
      <c r="G62" s="3">
        <f t="shared" si="6"/>
        <v>61</v>
      </c>
      <c r="H62" s="3">
        <v>6</v>
      </c>
      <c r="I62" s="7"/>
      <c r="J62" s="3" t="s">
        <v>247</v>
      </c>
      <c r="K62" s="3" t="s">
        <v>251</v>
      </c>
      <c r="L62" s="3" t="s">
        <v>257</v>
      </c>
      <c r="M62" s="6">
        <f t="shared" si="3"/>
        <v>6</v>
      </c>
      <c r="N62" s="4"/>
      <c r="O62" s="4"/>
    </row>
    <row r="63" spans="1:15" x14ac:dyDescent="0.25">
      <c r="A63" s="1" t="s">
        <v>178</v>
      </c>
      <c r="B63" s="3" t="s">
        <v>179</v>
      </c>
      <c r="C63" s="3">
        <v>150</v>
      </c>
      <c r="D63" s="3">
        <v>62</v>
      </c>
      <c r="E63" s="3">
        <f t="shared" si="4"/>
        <v>62</v>
      </c>
      <c r="F63" s="3">
        <f t="shared" si="5"/>
        <v>88</v>
      </c>
      <c r="G63" s="3">
        <f t="shared" si="6"/>
        <v>62</v>
      </c>
      <c r="H63" s="3">
        <v>6</v>
      </c>
      <c r="I63" s="7"/>
      <c r="J63" s="3" t="s">
        <v>247</v>
      </c>
      <c r="K63" s="3" t="s">
        <v>251</v>
      </c>
      <c r="L63" s="3" t="s">
        <v>257</v>
      </c>
      <c r="M63" s="6">
        <f t="shared" si="3"/>
        <v>6</v>
      </c>
      <c r="N63" s="4"/>
      <c r="O63" s="4"/>
    </row>
    <row r="64" spans="1:15" x14ac:dyDescent="0.25">
      <c r="A64" s="1" t="s">
        <v>70</v>
      </c>
      <c r="B64" s="3" t="s">
        <v>71</v>
      </c>
      <c r="C64" s="3">
        <v>152</v>
      </c>
      <c r="D64" s="3">
        <v>63</v>
      </c>
      <c r="E64" s="3">
        <f t="shared" si="4"/>
        <v>63</v>
      </c>
      <c r="F64" s="3">
        <f t="shared" si="5"/>
        <v>89</v>
      </c>
      <c r="G64" s="3">
        <f t="shared" si="6"/>
        <v>63</v>
      </c>
      <c r="H64" s="3">
        <v>6</v>
      </c>
      <c r="I64" s="7"/>
      <c r="J64" s="3" t="s">
        <v>247</v>
      </c>
      <c r="K64" s="3" t="s">
        <v>251</v>
      </c>
      <c r="L64" s="3" t="s">
        <v>257</v>
      </c>
      <c r="M64" s="6">
        <f t="shared" si="3"/>
        <v>6</v>
      </c>
      <c r="N64" s="4"/>
      <c r="O64" s="4"/>
    </row>
    <row r="65" spans="1:15" x14ac:dyDescent="0.25">
      <c r="A65" s="1" t="s">
        <v>80</v>
      </c>
      <c r="B65" s="3" t="s">
        <v>81</v>
      </c>
      <c r="C65" s="3">
        <v>157</v>
      </c>
      <c r="D65" s="3">
        <v>64</v>
      </c>
      <c r="E65" s="3">
        <f t="shared" si="4"/>
        <v>64</v>
      </c>
      <c r="F65" s="3">
        <f t="shared" si="5"/>
        <v>93</v>
      </c>
      <c r="G65" s="3">
        <f t="shared" si="6"/>
        <v>64</v>
      </c>
      <c r="H65" s="3">
        <v>6</v>
      </c>
      <c r="I65" s="7"/>
      <c r="J65" s="3" t="s">
        <v>247</v>
      </c>
      <c r="K65" s="3" t="s">
        <v>251</v>
      </c>
      <c r="L65" s="3" t="s">
        <v>257</v>
      </c>
      <c r="M65" s="6">
        <f t="shared" si="3"/>
        <v>6</v>
      </c>
      <c r="N65" s="4"/>
      <c r="O65" s="4"/>
    </row>
    <row r="66" spans="1:15" x14ac:dyDescent="0.25">
      <c r="A66" s="1" t="s">
        <v>194</v>
      </c>
      <c r="B66" s="3" t="s">
        <v>195</v>
      </c>
      <c r="C66" s="3">
        <v>159</v>
      </c>
      <c r="D66" s="3">
        <v>65</v>
      </c>
      <c r="E66" s="3">
        <f t="shared" ref="E66:E97" si="7">D66</f>
        <v>65</v>
      </c>
      <c r="F66" s="3">
        <f t="shared" ref="F66:F97" si="8">C66-D66</f>
        <v>94</v>
      </c>
      <c r="G66" s="3">
        <f t="shared" ref="G66:G97" si="9">D66</f>
        <v>65</v>
      </c>
      <c r="H66" s="3">
        <v>6</v>
      </c>
      <c r="I66" s="7"/>
      <c r="J66" s="3" t="s">
        <v>247</v>
      </c>
      <c r="K66" s="3" t="s">
        <v>251</v>
      </c>
      <c r="L66" s="3" t="s">
        <v>257</v>
      </c>
      <c r="M66" s="6">
        <f t="shared" si="3"/>
        <v>6</v>
      </c>
      <c r="N66" s="4"/>
      <c r="O66" s="4"/>
    </row>
    <row r="67" spans="1:15" x14ac:dyDescent="0.25">
      <c r="A67" s="1" t="s">
        <v>58</v>
      </c>
      <c r="B67" s="3" t="s">
        <v>59</v>
      </c>
      <c r="C67" s="3">
        <v>162</v>
      </c>
      <c r="D67" s="3">
        <v>66</v>
      </c>
      <c r="E67" s="3">
        <f t="shared" si="7"/>
        <v>66</v>
      </c>
      <c r="F67" s="3">
        <f t="shared" si="8"/>
        <v>96</v>
      </c>
      <c r="G67" s="3">
        <f t="shared" si="9"/>
        <v>66</v>
      </c>
      <c r="H67" s="3">
        <v>6</v>
      </c>
      <c r="I67" s="7"/>
      <c r="J67" s="3" t="s">
        <v>247</v>
      </c>
      <c r="K67" s="3" t="s">
        <v>251</v>
      </c>
      <c r="L67" s="3" t="s">
        <v>257</v>
      </c>
      <c r="M67" s="6">
        <f t="shared" ref="M67:M122" si="10">H67</f>
        <v>6</v>
      </c>
      <c r="N67" s="4"/>
      <c r="O67" s="4"/>
    </row>
    <row r="68" spans="1:15" x14ac:dyDescent="0.25">
      <c r="A68" s="1" t="s">
        <v>96</v>
      </c>
      <c r="B68" s="3" t="s">
        <v>97</v>
      </c>
      <c r="C68" s="3">
        <v>165</v>
      </c>
      <c r="D68" s="3">
        <v>67</v>
      </c>
      <c r="E68" s="3">
        <f t="shared" si="7"/>
        <v>67</v>
      </c>
      <c r="F68" s="3">
        <f t="shared" si="8"/>
        <v>98</v>
      </c>
      <c r="G68" s="3">
        <f t="shared" si="9"/>
        <v>67</v>
      </c>
      <c r="H68" s="3">
        <v>6</v>
      </c>
      <c r="I68" s="7"/>
      <c r="J68" s="3" t="s">
        <v>247</v>
      </c>
      <c r="K68" s="3" t="s">
        <v>251</v>
      </c>
      <c r="L68" s="3" t="s">
        <v>257</v>
      </c>
      <c r="M68" s="6">
        <f t="shared" si="10"/>
        <v>6</v>
      </c>
      <c r="N68" s="4"/>
      <c r="O68" s="4"/>
    </row>
    <row r="69" spans="1:15" x14ac:dyDescent="0.25">
      <c r="A69" s="1" t="s">
        <v>64</v>
      </c>
      <c r="B69" s="3" t="s">
        <v>65</v>
      </c>
      <c r="C69" s="3">
        <v>167</v>
      </c>
      <c r="D69" s="3">
        <v>68</v>
      </c>
      <c r="E69" s="3">
        <f t="shared" si="7"/>
        <v>68</v>
      </c>
      <c r="F69" s="3">
        <f t="shared" si="8"/>
        <v>99</v>
      </c>
      <c r="G69" s="3">
        <f t="shared" si="9"/>
        <v>68</v>
      </c>
      <c r="H69" s="3">
        <v>6</v>
      </c>
      <c r="I69" s="7"/>
      <c r="J69" s="3" t="s">
        <v>247</v>
      </c>
      <c r="K69" s="3" t="s">
        <v>251</v>
      </c>
      <c r="L69" s="3" t="s">
        <v>257</v>
      </c>
      <c r="M69" s="6">
        <f t="shared" si="10"/>
        <v>6</v>
      </c>
      <c r="N69" s="4"/>
      <c r="O69" s="4"/>
    </row>
    <row r="70" spans="1:15" x14ac:dyDescent="0.25">
      <c r="A70" s="1" t="s">
        <v>200</v>
      </c>
      <c r="B70" s="3" t="s">
        <v>201</v>
      </c>
      <c r="C70" s="3">
        <v>169</v>
      </c>
      <c r="D70" s="3">
        <v>69</v>
      </c>
      <c r="E70" s="3">
        <f t="shared" si="7"/>
        <v>69</v>
      </c>
      <c r="F70" s="3">
        <f t="shared" si="8"/>
        <v>100</v>
      </c>
      <c r="G70" s="3">
        <f t="shared" si="9"/>
        <v>69</v>
      </c>
      <c r="H70" s="3">
        <v>6</v>
      </c>
      <c r="I70" s="7"/>
      <c r="J70" s="3" t="s">
        <v>247</v>
      </c>
      <c r="K70" s="3" t="s">
        <v>251</v>
      </c>
      <c r="L70" s="3" t="s">
        <v>257</v>
      </c>
      <c r="M70" s="6">
        <f t="shared" si="10"/>
        <v>6</v>
      </c>
      <c r="N70" s="4"/>
      <c r="O70" s="4"/>
    </row>
    <row r="71" spans="1:15" x14ac:dyDescent="0.25">
      <c r="A71" s="1" t="s">
        <v>103</v>
      </c>
      <c r="B71" s="3" t="s">
        <v>104</v>
      </c>
      <c r="C71" s="3">
        <v>173</v>
      </c>
      <c r="D71" s="3">
        <v>70</v>
      </c>
      <c r="E71" s="3">
        <f t="shared" si="7"/>
        <v>70</v>
      </c>
      <c r="F71" s="3">
        <f t="shared" si="8"/>
        <v>103</v>
      </c>
      <c r="G71" s="3">
        <f t="shared" si="9"/>
        <v>70</v>
      </c>
      <c r="H71" s="3">
        <v>6</v>
      </c>
      <c r="I71" s="7"/>
      <c r="J71" s="3" t="s">
        <v>247</v>
      </c>
      <c r="K71" s="3" t="s">
        <v>251</v>
      </c>
      <c r="L71" s="3" t="s">
        <v>257</v>
      </c>
      <c r="M71" s="6">
        <f t="shared" si="10"/>
        <v>6</v>
      </c>
      <c r="N71" s="4"/>
      <c r="O71" s="4"/>
    </row>
    <row r="72" spans="1:15" x14ac:dyDescent="0.25">
      <c r="A72" s="1" t="s">
        <v>111</v>
      </c>
      <c r="B72" s="3" t="s">
        <v>112</v>
      </c>
      <c r="C72" s="3">
        <v>175</v>
      </c>
      <c r="D72" s="3">
        <v>71</v>
      </c>
      <c r="E72" s="3">
        <f t="shared" si="7"/>
        <v>71</v>
      </c>
      <c r="F72" s="3">
        <f t="shared" si="8"/>
        <v>104</v>
      </c>
      <c r="G72" s="3">
        <f t="shared" si="9"/>
        <v>71</v>
      </c>
      <c r="H72" s="3">
        <v>6</v>
      </c>
      <c r="I72" s="7"/>
      <c r="J72" s="3" t="s">
        <v>247</v>
      </c>
      <c r="K72" s="3" t="s">
        <v>251</v>
      </c>
      <c r="L72" s="3" t="s">
        <v>257</v>
      </c>
      <c r="M72" s="6">
        <f t="shared" si="10"/>
        <v>6</v>
      </c>
      <c r="N72" s="4"/>
      <c r="O72" s="4"/>
    </row>
    <row r="73" spans="1:15" x14ac:dyDescent="0.25">
      <c r="A73" s="1" t="s">
        <v>86</v>
      </c>
      <c r="B73" s="3" t="s">
        <v>87</v>
      </c>
      <c r="C73" s="3">
        <v>178</v>
      </c>
      <c r="D73" s="3">
        <v>72</v>
      </c>
      <c r="E73" s="3">
        <f t="shared" si="7"/>
        <v>72</v>
      </c>
      <c r="F73" s="3">
        <f t="shared" si="8"/>
        <v>106</v>
      </c>
      <c r="G73" s="3">
        <f t="shared" si="9"/>
        <v>72</v>
      </c>
      <c r="H73" s="3">
        <v>6</v>
      </c>
      <c r="I73" s="3">
        <v>4</v>
      </c>
      <c r="J73" s="3" t="s">
        <v>246</v>
      </c>
      <c r="K73" s="3" t="s">
        <v>251</v>
      </c>
      <c r="L73" s="3" t="s">
        <v>257</v>
      </c>
      <c r="M73" s="6">
        <f t="shared" si="10"/>
        <v>6</v>
      </c>
      <c r="N73" s="4"/>
      <c r="O73" s="4"/>
    </row>
    <row r="74" spans="1:15" x14ac:dyDescent="0.25">
      <c r="A74" s="1" t="s">
        <v>189</v>
      </c>
      <c r="B74" s="3" t="s">
        <v>190</v>
      </c>
      <c r="C74" s="3">
        <v>180</v>
      </c>
      <c r="D74" s="3">
        <v>73</v>
      </c>
      <c r="E74" s="3">
        <f t="shared" si="7"/>
        <v>73</v>
      </c>
      <c r="F74" s="3">
        <f t="shared" si="8"/>
        <v>107</v>
      </c>
      <c r="G74" s="3">
        <f t="shared" si="9"/>
        <v>73</v>
      </c>
      <c r="H74" s="3">
        <v>6</v>
      </c>
      <c r="I74" s="3">
        <v>5</v>
      </c>
      <c r="J74" s="3" t="s">
        <v>246</v>
      </c>
      <c r="K74" s="3" t="s">
        <v>251</v>
      </c>
      <c r="L74" s="3" t="s">
        <v>257</v>
      </c>
      <c r="M74" s="6">
        <f t="shared" si="10"/>
        <v>6</v>
      </c>
      <c r="N74" s="4"/>
      <c r="O74" s="4"/>
    </row>
    <row r="75" spans="1:15" x14ac:dyDescent="0.25">
      <c r="A75" s="1" t="s">
        <v>206</v>
      </c>
      <c r="B75" s="3" t="s">
        <v>207</v>
      </c>
      <c r="C75" s="3">
        <v>184</v>
      </c>
      <c r="D75" s="3">
        <v>74</v>
      </c>
      <c r="E75" s="3">
        <f t="shared" si="7"/>
        <v>74</v>
      </c>
      <c r="F75" s="3">
        <f t="shared" si="8"/>
        <v>110</v>
      </c>
      <c r="G75" s="3">
        <f t="shared" si="9"/>
        <v>74</v>
      </c>
      <c r="H75" s="3">
        <v>6</v>
      </c>
      <c r="I75" s="3">
        <v>6</v>
      </c>
      <c r="J75" s="3" t="s">
        <v>246</v>
      </c>
      <c r="K75" s="3" t="s">
        <v>251</v>
      </c>
      <c r="L75" s="3" t="s">
        <v>257</v>
      </c>
      <c r="M75" s="6">
        <f t="shared" si="10"/>
        <v>6</v>
      </c>
      <c r="N75" s="4"/>
      <c r="O75" s="4"/>
    </row>
    <row r="76" spans="1:15" x14ac:dyDescent="0.25">
      <c r="A76" s="1" t="s">
        <v>168</v>
      </c>
      <c r="B76" s="3" t="s">
        <v>169</v>
      </c>
      <c r="C76" s="3">
        <v>186</v>
      </c>
      <c r="D76" s="3">
        <v>75</v>
      </c>
      <c r="E76" s="3">
        <f t="shared" si="7"/>
        <v>75</v>
      </c>
      <c r="F76" s="3">
        <f t="shared" si="8"/>
        <v>111</v>
      </c>
      <c r="G76" s="3">
        <f t="shared" si="9"/>
        <v>75</v>
      </c>
      <c r="H76" s="3">
        <v>6</v>
      </c>
      <c r="I76" s="3">
        <v>7</v>
      </c>
      <c r="J76" s="3" t="s">
        <v>246</v>
      </c>
      <c r="K76" s="3" t="s">
        <v>251</v>
      </c>
      <c r="L76" s="3" t="s">
        <v>257</v>
      </c>
      <c r="M76" s="6">
        <f t="shared" si="10"/>
        <v>6</v>
      </c>
      <c r="N76" s="4"/>
      <c r="O76" s="4"/>
    </row>
    <row r="77" spans="1:15" x14ac:dyDescent="0.25">
      <c r="A77" s="1" t="s">
        <v>140</v>
      </c>
      <c r="B77" s="3" t="s">
        <v>141</v>
      </c>
      <c r="C77" s="3">
        <v>190</v>
      </c>
      <c r="D77" s="3">
        <v>76</v>
      </c>
      <c r="E77" s="3">
        <f t="shared" si="7"/>
        <v>76</v>
      </c>
      <c r="F77" s="3">
        <f t="shared" si="8"/>
        <v>114</v>
      </c>
      <c r="G77" s="3">
        <f t="shared" si="9"/>
        <v>76</v>
      </c>
      <c r="H77" s="3">
        <v>6</v>
      </c>
      <c r="I77" s="3">
        <v>8</v>
      </c>
      <c r="J77" s="3" t="s">
        <v>246</v>
      </c>
      <c r="K77" s="3" t="s">
        <v>251</v>
      </c>
      <c r="L77" s="3" t="s">
        <v>257</v>
      </c>
      <c r="M77" s="6">
        <f t="shared" si="10"/>
        <v>6</v>
      </c>
      <c r="N77" s="4"/>
      <c r="O77" s="4"/>
    </row>
    <row r="78" spans="1:15" x14ac:dyDescent="0.25">
      <c r="A78" s="1" t="s">
        <v>101</v>
      </c>
      <c r="B78" s="3" t="s">
        <v>102</v>
      </c>
      <c r="C78" s="3">
        <v>192</v>
      </c>
      <c r="D78" s="3">
        <v>77</v>
      </c>
      <c r="E78" s="3">
        <f t="shared" si="7"/>
        <v>77</v>
      </c>
      <c r="F78" s="3">
        <f t="shared" si="8"/>
        <v>115</v>
      </c>
      <c r="G78" s="3">
        <f t="shared" si="9"/>
        <v>77</v>
      </c>
      <c r="H78" s="3">
        <v>6</v>
      </c>
      <c r="I78" s="3">
        <v>9</v>
      </c>
      <c r="J78" s="3" t="s">
        <v>246</v>
      </c>
      <c r="K78" s="3" t="s">
        <v>251</v>
      </c>
      <c r="L78" s="3" t="s">
        <v>257</v>
      </c>
      <c r="M78" s="6">
        <f t="shared" si="10"/>
        <v>6</v>
      </c>
      <c r="N78" s="4"/>
      <c r="O78" s="4"/>
    </row>
    <row r="79" spans="1:15" x14ac:dyDescent="0.25">
      <c r="A79" s="1" t="s">
        <v>148</v>
      </c>
      <c r="B79" s="3" t="s">
        <v>149</v>
      </c>
      <c r="C79" s="3">
        <v>195</v>
      </c>
      <c r="D79" s="3">
        <v>78</v>
      </c>
      <c r="E79" s="3">
        <f t="shared" si="7"/>
        <v>78</v>
      </c>
      <c r="F79" s="3">
        <f t="shared" si="8"/>
        <v>117</v>
      </c>
      <c r="G79" s="3">
        <f t="shared" si="9"/>
        <v>78</v>
      </c>
      <c r="H79" s="3">
        <v>6</v>
      </c>
      <c r="I79" s="3">
        <v>10</v>
      </c>
      <c r="J79" s="3" t="s">
        <v>246</v>
      </c>
      <c r="K79" s="3" t="s">
        <v>251</v>
      </c>
      <c r="L79" s="3" t="s">
        <v>257</v>
      </c>
      <c r="M79" s="6">
        <f t="shared" si="10"/>
        <v>6</v>
      </c>
      <c r="N79" s="4"/>
      <c r="O79" s="4"/>
    </row>
    <row r="80" spans="1:15" x14ac:dyDescent="0.25">
      <c r="A80" s="1" t="s">
        <v>138</v>
      </c>
      <c r="B80" s="3" t="s">
        <v>139</v>
      </c>
      <c r="C80" s="3">
        <v>197</v>
      </c>
      <c r="D80" s="3">
        <v>79</v>
      </c>
      <c r="E80" s="3">
        <f t="shared" si="7"/>
        <v>79</v>
      </c>
      <c r="F80" s="3">
        <f t="shared" si="8"/>
        <v>118</v>
      </c>
      <c r="G80" s="3">
        <f t="shared" si="9"/>
        <v>79</v>
      </c>
      <c r="H80" s="3">
        <v>6</v>
      </c>
      <c r="I80" s="3">
        <v>11</v>
      </c>
      <c r="J80" s="3" t="s">
        <v>246</v>
      </c>
      <c r="K80" s="3" t="s">
        <v>251</v>
      </c>
      <c r="L80" s="3" t="s">
        <v>257</v>
      </c>
      <c r="M80" s="6">
        <f t="shared" si="10"/>
        <v>6</v>
      </c>
      <c r="N80" s="4"/>
      <c r="O80" s="4"/>
    </row>
    <row r="81" spans="1:15" x14ac:dyDescent="0.25">
      <c r="A81" s="1" t="s">
        <v>121</v>
      </c>
      <c r="B81" s="3" t="s">
        <v>122</v>
      </c>
      <c r="C81" s="3">
        <v>201</v>
      </c>
      <c r="D81" s="3">
        <v>80</v>
      </c>
      <c r="E81" s="3">
        <f t="shared" si="7"/>
        <v>80</v>
      </c>
      <c r="F81" s="3">
        <f t="shared" si="8"/>
        <v>121</v>
      </c>
      <c r="G81" s="3">
        <f t="shared" si="9"/>
        <v>80</v>
      </c>
      <c r="H81" s="3">
        <v>6</v>
      </c>
      <c r="I81" s="3">
        <v>12</v>
      </c>
      <c r="J81" s="3" t="s">
        <v>246</v>
      </c>
      <c r="K81" s="3" t="s">
        <v>249</v>
      </c>
      <c r="L81" s="3" t="s">
        <v>257</v>
      </c>
      <c r="M81" s="6">
        <f t="shared" si="10"/>
        <v>6</v>
      </c>
      <c r="N81" s="4"/>
      <c r="O81" s="4"/>
    </row>
    <row r="82" spans="1:15" x14ac:dyDescent="0.25">
      <c r="A82" s="1" t="s">
        <v>187</v>
      </c>
      <c r="B82" s="3" t="s">
        <v>188</v>
      </c>
      <c r="C82" s="3">
        <v>204</v>
      </c>
      <c r="D82" s="3">
        <v>81</v>
      </c>
      <c r="E82" s="3">
        <f t="shared" si="7"/>
        <v>81</v>
      </c>
      <c r="F82" s="3">
        <f t="shared" si="8"/>
        <v>123</v>
      </c>
      <c r="G82" s="3">
        <f t="shared" si="9"/>
        <v>81</v>
      </c>
      <c r="H82" s="3">
        <v>6</v>
      </c>
      <c r="I82" s="3">
        <v>13</v>
      </c>
      <c r="J82" s="3" t="s">
        <v>245</v>
      </c>
      <c r="K82" s="3" t="s">
        <v>251</v>
      </c>
      <c r="L82" s="3" t="s">
        <v>257</v>
      </c>
      <c r="M82" s="6">
        <f t="shared" si="10"/>
        <v>6</v>
      </c>
      <c r="N82" s="4"/>
      <c r="O82" s="4"/>
    </row>
    <row r="83" spans="1:15" x14ac:dyDescent="0.25">
      <c r="A83" s="1" t="s">
        <v>150</v>
      </c>
      <c r="B83" s="3" t="s">
        <v>151</v>
      </c>
      <c r="C83" s="3">
        <v>207</v>
      </c>
      <c r="D83" s="3">
        <v>82</v>
      </c>
      <c r="E83" s="3">
        <f t="shared" si="7"/>
        <v>82</v>
      </c>
      <c r="F83" s="3">
        <f t="shared" si="8"/>
        <v>125</v>
      </c>
      <c r="G83" s="3">
        <f t="shared" si="9"/>
        <v>82</v>
      </c>
      <c r="H83" s="3">
        <v>6</v>
      </c>
      <c r="I83" s="3">
        <v>14</v>
      </c>
      <c r="J83" s="3" t="s">
        <v>245</v>
      </c>
      <c r="K83" s="3" t="s">
        <v>251</v>
      </c>
      <c r="L83" s="3" t="s">
        <v>257</v>
      </c>
      <c r="M83" s="6">
        <f t="shared" si="10"/>
        <v>6</v>
      </c>
      <c r="N83" s="4"/>
      <c r="O83" s="4"/>
    </row>
    <row r="84" spans="1:15" x14ac:dyDescent="0.25">
      <c r="A84" s="1" t="s">
        <v>28</v>
      </c>
      <c r="B84" s="3" t="s">
        <v>29</v>
      </c>
      <c r="C84" s="3">
        <v>209</v>
      </c>
      <c r="D84" s="3">
        <v>83</v>
      </c>
      <c r="E84" s="3">
        <f t="shared" si="7"/>
        <v>83</v>
      </c>
      <c r="F84" s="3">
        <f t="shared" si="8"/>
        <v>126</v>
      </c>
      <c r="G84" s="3">
        <f t="shared" si="9"/>
        <v>83</v>
      </c>
      <c r="H84" s="3">
        <v>6</v>
      </c>
      <c r="I84" s="3">
        <v>15</v>
      </c>
      <c r="J84" s="3" t="s">
        <v>245</v>
      </c>
      <c r="K84" s="3" t="s">
        <v>251</v>
      </c>
      <c r="L84" s="3" t="s">
        <v>257</v>
      </c>
      <c r="M84" s="6">
        <f t="shared" si="10"/>
        <v>6</v>
      </c>
      <c r="N84" s="4"/>
      <c r="O84" s="4"/>
    </row>
    <row r="85" spans="1:15" x14ac:dyDescent="0.25">
      <c r="A85" s="1" t="s">
        <v>154</v>
      </c>
      <c r="B85" s="3" t="s">
        <v>155</v>
      </c>
      <c r="C85" s="3">
        <v>210</v>
      </c>
      <c r="D85" s="3">
        <v>84</v>
      </c>
      <c r="E85" s="3">
        <f t="shared" si="7"/>
        <v>84</v>
      </c>
      <c r="F85" s="3">
        <f t="shared" si="8"/>
        <v>126</v>
      </c>
      <c r="G85" s="3">
        <f t="shared" si="9"/>
        <v>84</v>
      </c>
      <c r="H85" s="3">
        <v>6</v>
      </c>
      <c r="I85" s="3">
        <v>16</v>
      </c>
      <c r="J85" s="3" t="s">
        <v>245</v>
      </c>
      <c r="K85" s="3" t="s">
        <v>251</v>
      </c>
      <c r="L85" s="3" t="s">
        <v>257</v>
      </c>
      <c r="M85" s="6">
        <f t="shared" si="10"/>
        <v>6</v>
      </c>
      <c r="N85" s="4"/>
      <c r="O85" s="4"/>
    </row>
    <row r="86" spans="1:15" x14ac:dyDescent="0.25">
      <c r="A86" s="1" t="s">
        <v>18</v>
      </c>
      <c r="B86" s="3" t="s">
        <v>19</v>
      </c>
      <c r="C86" s="3">
        <v>210</v>
      </c>
      <c r="D86" s="3">
        <v>85</v>
      </c>
      <c r="E86" s="3">
        <f t="shared" si="7"/>
        <v>85</v>
      </c>
      <c r="F86" s="3">
        <f t="shared" si="8"/>
        <v>125</v>
      </c>
      <c r="G86" s="3">
        <f t="shared" si="9"/>
        <v>85</v>
      </c>
      <c r="H86" s="3">
        <v>6</v>
      </c>
      <c r="I86" s="3">
        <v>17</v>
      </c>
      <c r="J86" s="3" t="s">
        <v>245</v>
      </c>
      <c r="K86" s="3" t="s">
        <v>251</v>
      </c>
      <c r="L86" s="7" t="s">
        <v>4</v>
      </c>
      <c r="M86" s="6">
        <f t="shared" si="10"/>
        <v>6</v>
      </c>
      <c r="N86" s="4"/>
      <c r="O86" s="4"/>
    </row>
    <row r="87" spans="1:15" x14ac:dyDescent="0.25">
      <c r="A87" s="1" t="s">
        <v>166</v>
      </c>
      <c r="B87" s="3" t="s">
        <v>167</v>
      </c>
      <c r="C87" s="3">
        <v>222</v>
      </c>
      <c r="D87" s="3">
        <v>86</v>
      </c>
      <c r="E87" s="3">
        <f t="shared" si="7"/>
        <v>86</v>
      </c>
      <c r="F87" s="3">
        <f t="shared" si="8"/>
        <v>136</v>
      </c>
      <c r="G87" s="3">
        <f t="shared" si="9"/>
        <v>86</v>
      </c>
      <c r="H87" s="3">
        <v>6</v>
      </c>
      <c r="I87" s="3">
        <v>18</v>
      </c>
      <c r="J87" s="3" t="s">
        <v>245</v>
      </c>
      <c r="K87" s="3" t="s">
        <v>244</v>
      </c>
      <c r="L87" s="7" t="s">
        <v>4</v>
      </c>
      <c r="M87" s="6">
        <f t="shared" si="10"/>
        <v>6</v>
      </c>
      <c r="N87" s="4"/>
      <c r="O87" s="4"/>
    </row>
    <row r="88" spans="1:15" x14ac:dyDescent="0.25">
      <c r="A88" s="1" t="s">
        <v>78</v>
      </c>
      <c r="B88" s="3" t="s">
        <v>79</v>
      </c>
      <c r="C88" s="3">
        <v>223</v>
      </c>
      <c r="D88" s="3">
        <v>87</v>
      </c>
      <c r="E88" s="3">
        <f t="shared" si="7"/>
        <v>87</v>
      </c>
      <c r="F88" s="3">
        <f t="shared" si="8"/>
        <v>136</v>
      </c>
      <c r="G88" s="3">
        <f t="shared" si="9"/>
        <v>87</v>
      </c>
      <c r="H88" s="3">
        <v>7</v>
      </c>
      <c r="I88" s="3">
        <v>1</v>
      </c>
      <c r="J88" s="3" t="s">
        <v>245</v>
      </c>
      <c r="K88" s="3" t="s">
        <v>251</v>
      </c>
      <c r="L88" s="3" t="s">
        <v>257</v>
      </c>
      <c r="M88" s="6">
        <f t="shared" si="10"/>
        <v>7</v>
      </c>
      <c r="N88" s="4"/>
      <c r="O88" s="4"/>
    </row>
    <row r="89" spans="1:15" x14ac:dyDescent="0.25">
      <c r="A89" s="1" t="s">
        <v>164</v>
      </c>
      <c r="B89" s="3" t="s">
        <v>165</v>
      </c>
      <c r="C89" s="3">
        <v>226</v>
      </c>
      <c r="D89" s="3">
        <v>88</v>
      </c>
      <c r="E89" s="3">
        <f t="shared" si="7"/>
        <v>88</v>
      </c>
      <c r="F89" s="3">
        <f t="shared" si="8"/>
        <v>138</v>
      </c>
      <c r="G89" s="3">
        <f t="shared" si="9"/>
        <v>88</v>
      </c>
      <c r="H89" s="3">
        <v>7</v>
      </c>
      <c r="I89" s="3">
        <v>2</v>
      </c>
      <c r="J89" s="3" t="s">
        <v>245</v>
      </c>
      <c r="K89" s="3" t="s">
        <v>251</v>
      </c>
      <c r="L89" s="3" t="s">
        <v>257</v>
      </c>
      <c r="M89" s="6">
        <f t="shared" si="10"/>
        <v>7</v>
      </c>
      <c r="N89" s="4"/>
      <c r="O89" s="4"/>
    </row>
    <row r="90" spans="1:15" x14ac:dyDescent="0.25">
      <c r="A90" s="1" t="s">
        <v>214</v>
      </c>
      <c r="B90" s="3" t="s">
        <v>7</v>
      </c>
      <c r="C90" s="3">
        <v>227</v>
      </c>
      <c r="D90" s="3">
        <v>89</v>
      </c>
      <c r="E90" s="3">
        <f t="shared" si="7"/>
        <v>89</v>
      </c>
      <c r="F90" s="3">
        <f t="shared" si="8"/>
        <v>138</v>
      </c>
      <c r="G90" s="3">
        <f t="shared" si="9"/>
        <v>89</v>
      </c>
      <c r="H90" s="3">
        <v>7</v>
      </c>
      <c r="I90" s="7"/>
      <c r="J90" s="3" t="s">
        <v>247</v>
      </c>
      <c r="K90" s="3" t="s">
        <v>251</v>
      </c>
      <c r="L90" s="3" t="s">
        <v>257</v>
      </c>
      <c r="M90" s="6">
        <f t="shared" si="10"/>
        <v>7</v>
      </c>
      <c r="N90" s="4"/>
      <c r="O90" s="4"/>
    </row>
    <row r="91" spans="1:15" x14ac:dyDescent="0.25">
      <c r="A91" s="1" t="s">
        <v>198</v>
      </c>
      <c r="B91" s="3" t="s">
        <v>199</v>
      </c>
      <c r="C91" s="3">
        <v>232</v>
      </c>
      <c r="D91" s="3">
        <v>90</v>
      </c>
      <c r="E91" s="3">
        <f t="shared" si="7"/>
        <v>90</v>
      </c>
      <c r="F91" s="3">
        <f t="shared" si="8"/>
        <v>142</v>
      </c>
      <c r="G91" s="3">
        <f t="shared" si="9"/>
        <v>90</v>
      </c>
      <c r="H91" s="3">
        <v>7</v>
      </c>
      <c r="I91" s="7"/>
      <c r="J91" s="3" t="s">
        <v>247</v>
      </c>
      <c r="K91" s="3" t="s">
        <v>251</v>
      </c>
      <c r="L91" s="3" t="s">
        <v>257</v>
      </c>
      <c r="M91" s="6">
        <f t="shared" si="10"/>
        <v>7</v>
      </c>
      <c r="N91" s="4"/>
      <c r="O91" s="4"/>
    </row>
    <row r="92" spans="1:15" x14ac:dyDescent="0.25">
      <c r="A92" s="1" t="s">
        <v>162</v>
      </c>
      <c r="B92" s="3" t="s">
        <v>163</v>
      </c>
      <c r="C92" s="3">
        <v>231</v>
      </c>
      <c r="D92" s="3">
        <v>91</v>
      </c>
      <c r="E92" s="3">
        <f t="shared" si="7"/>
        <v>91</v>
      </c>
      <c r="F92" s="3">
        <f t="shared" si="8"/>
        <v>140</v>
      </c>
      <c r="G92" s="3">
        <f t="shared" si="9"/>
        <v>91</v>
      </c>
      <c r="H92" s="3">
        <v>7</v>
      </c>
      <c r="I92" s="7"/>
      <c r="J92" s="3" t="s">
        <v>247</v>
      </c>
      <c r="K92" s="3" t="s">
        <v>251</v>
      </c>
      <c r="L92" s="3" t="s">
        <v>257</v>
      </c>
      <c r="M92" s="6">
        <f t="shared" si="10"/>
        <v>7</v>
      </c>
      <c r="N92" s="4"/>
      <c r="O92" s="4"/>
    </row>
    <row r="93" spans="1:15" x14ac:dyDescent="0.25">
      <c r="A93" s="1" t="s">
        <v>202</v>
      </c>
      <c r="B93" s="3" t="s">
        <v>203</v>
      </c>
      <c r="C93" s="3">
        <v>283</v>
      </c>
      <c r="D93" s="3">
        <v>92</v>
      </c>
      <c r="E93" s="3">
        <f t="shared" si="7"/>
        <v>92</v>
      </c>
      <c r="F93" s="3">
        <f t="shared" si="8"/>
        <v>191</v>
      </c>
      <c r="G93" s="3">
        <f t="shared" si="9"/>
        <v>92</v>
      </c>
      <c r="H93" s="3">
        <v>7</v>
      </c>
      <c r="I93" s="7"/>
      <c r="J93" s="3" t="s">
        <v>247</v>
      </c>
      <c r="K93" s="3" t="s">
        <v>251</v>
      </c>
      <c r="L93" s="3" t="s">
        <v>257</v>
      </c>
      <c r="M93" s="6">
        <f t="shared" si="10"/>
        <v>7</v>
      </c>
      <c r="N93" s="4"/>
      <c r="O93" s="4"/>
    </row>
    <row r="94" spans="1:15" x14ac:dyDescent="0.25">
      <c r="A94" s="1" t="s">
        <v>129</v>
      </c>
      <c r="B94" s="3" t="s">
        <v>130</v>
      </c>
      <c r="C94" s="3">
        <v>237</v>
      </c>
      <c r="D94" s="3">
        <v>93</v>
      </c>
      <c r="E94" s="3">
        <f t="shared" si="7"/>
        <v>93</v>
      </c>
      <c r="F94" s="3">
        <f t="shared" si="8"/>
        <v>144</v>
      </c>
      <c r="G94" s="3">
        <f t="shared" si="9"/>
        <v>93</v>
      </c>
      <c r="H94" s="3">
        <v>7</v>
      </c>
      <c r="I94" s="7"/>
      <c r="J94" s="3" t="s">
        <v>247</v>
      </c>
      <c r="K94" s="3" t="s">
        <v>251</v>
      </c>
      <c r="L94" s="3" t="s">
        <v>257</v>
      </c>
      <c r="M94" s="6">
        <f t="shared" si="10"/>
        <v>7</v>
      </c>
      <c r="N94" s="4"/>
      <c r="O94" s="4"/>
    </row>
    <row r="95" spans="1:15" x14ac:dyDescent="0.25">
      <c r="A95" s="1" t="s">
        <v>152</v>
      </c>
      <c r="B95" s="3" t="s">
        <v>153</v>
      </c>
      <c r="C95" s="3">
        <v>239</v>
      </c>
      <c r="D95" s="3">
        <v>94</v>
      </c>
      <c r="E95" s="3">
        <f t="shared" si="7"/>
        <v>94</v>
      </c>
      <c r="F95" s="3">
        <f t="shared" si="8"/>
        <v>145</v>
      </c>
      <c r="G95" s="3">
        <f t="shared" si="9"/>
        <v>94</v>
      </c>
      <c r="H95" s="3">
        <v>7</v>
      </c>
      <c r="I95" s="7"/>
      <c r="J95" s="3" t="s">
        <v>247</v>
      </c>
      <c r="K95" s="3" t="s">
        <v>251</v>
      </c>
      <c r="L95" s="3" t="s">
        <v>257</v>
      </c>
      <c r="M95" s="6">
        <f t="shared" si="10"/>
        <v>7</v>
      </c>
      <c r="N95" s="4"/>
      <c r="O95" s="4"/>
    </row>
    <row r="96" spans="1:15" x14ac:dyDescent="0.25">
      <c r="A96" s="1" t="s">
        <v>10</v>
      </c>
      <c r="B96" s="3" t="s">
        <v>11</v>
      </c>
      <c r="C96" s="3">
        <v>243</v>
      </c>
      <c r="D96" s="3">
        <v>95</v>
      </c>
      <c r="E96" s="3">
        <f t="shared" si="7"/>
        <v>95</v>
      </c>
      <c r="F96" s="3">
        <f t="shared" si="8"/>
        <v>148</v>
      </c>
      <c r="G96" s="3">
        <f t="shared" si="9"/>
        <v>95</v>
      </c>
      <c r="H96" s="3">
        <v>7</v>
      </c>
      <c r="I96" s="7"/>
      <c r="J96" s="3" t="s">
        <v>247</v>
      </c>
      <c r="K96" s="3" t="s">
        <v>251</v>
      </c>
      <c r="L96" s="3" t="s">
        <v>257</v>
      </c>
      <c r="M96" s="6">
        <f t="shared" si="10"/>
        <v>7</v>
      </c>
      <c r="N96" s="4"/>
      <c r="O96" s="4"/>
    </row>
    <row r="97" spans="1:15" x14ac:dyDescent="0.25">
      <c r="A97" s="1" t="s">
        <v>56</v>
      </c>
      <c r="B97" s="3" t="s">
        <v>57</v>
      </c>
      <c r="C97" s="3">
        <v>247</v>
      </c>
      <c r="D97" s="3">
        <v>96</v>
      </c>
      <c r="E97" s="3">
        <f t="shared" si="7"/>
        <v>96</v>
      </c>
      <c r="F97" s="3">
        <f t="shared" si="8"/>
        <v>151</v>
      </c>
      <c r="G97" s="3">
        <f t="shared" si="9"/>
        <v>96</v>
      </c>
      <c r="H97" s="3">
        <v>7</v>
      </c>
      <c r="I97" s="7"/>
      <c r="J97" s="3" t="s">
        <v>247</v>
      </c>
      <c r="K97" s="3" t="s">
        <v>251</v>
      </c>
      <c r="L97" s="3" t="s">
        <v>257</v>
      </c>
      <c r="M97" s="6">
        <f t="shared" si="10"/>
        <v>7</v>
      </c>
      <c r="N97" s="4"/>
      <c r="O97" s="4"/>
    </row>
    <row r="98" spans="1:15" x14ac:dyDescent="0.25">
      <c r="A98" s="1" t="s">
        <v>26</v>
      </c>
      <c r="B98" s="3" t="s">
        <v>27</v>
      </c>
      <c r="C98" s="3">
        <v>247</v>
      </c>
      <c r="D98" s="3">
        <v>97</v>
      </c>
      <c r="E98" s="3">
        <f t="shared" ref="E98:E129" si="11">D98</f>
        <v>97</v>
      </c>
      <c r="F98" s="3">
        <f t="shared" ref="F98:F113" si="12">C98-D98</f>
        <v>150</v>
      </c>
      <c r="G98" s="3">
        <f t="shared" ref="G98:G122" si="13">D98</f>
        <v>97</v>
      </c>
      <c r="H98" s="3">
        <v>7</v>
      </c>
      <c r="I98" s="7"/>
      <c r="J98" s="3" t="s">
        <v>247</v>
      </c>
      <c r="K98" s="3" t="s">
        <v>251</v>
      </c>
      <c r="L98" s="3" t="s">
        <v>257</v>
      </c>
      <c r="M98" s="6">
        <f t="shared" si="10"/>
        <v>7</v>
      </c>
      <c r="N98" s="4"/>
      <c r="O98" s="4"/>
    </row>
    <row r="99" spans="1:15" x14ac:dyDescent="0.25">
      <c r="A99" s="1" t="s">
        <v>40</v>
      </c>
      <c r="B99" s="3" t="s">
        <v>41</v>
      </c>
      <c r="C99" s="3">
        <v>251</v>
      </c>
      <c r="D99" s="3">
        <v>98</v>
      </c>
      <c r="E99" s="3">
        <f t="shared" si="11"/>
        <v>98</v>
      </c>
      <c r="F99" s="3">
        <f t="shared" si="12"/>
        <v>153</v>
      </c>
      <c r="G99" s="3">
        <f t="shared" si="13"/>
        <v>98</v>
      </c>
      <c r="H99" s="3">
        <v>7</v>
      </c>
      <c r="I99" s="7"/>
      <c r="J99" s="3" t="s">
        <v>247</v>
      </c>
      <c r="K99" s="3" t="s">
        <v>251</v>
      </c>
      <c r="L99" s="3" t="s">
        <v>257</v>
      </c>
      <c r="M99" s="6">
        <f t="shared" si="10"/>
        <v>7</v>
      </c>
      <c r="N99" s="4"/>
      <c r="O99" s="4"/>
    </row>
    <row r="100" spans="1:15" x14ac:dyDescent="0.25">
      <c r="A100" s="1" t="s">
        <v>62</v>
      </c>
      <c r="B100" s="3" t="s">
        <v>63</v>
      </c>
      <c r="C100" s="3">
        <v>254</v>
      </c>
      <c r="D100" s="3">
        <v>99</v>
      </c>
      <c r="E100" s="3">
        <f t="shared" si="11"/>
        <v>99</v>
      </c>
      <c r="F100" s="3">
        <f t="shared" si="12"/>
        <v>155</v>
      </c>
      <c r="G100" s="3">
        <f t="shared" si="13"/>
        <v>99</v>
      </c>
      <c r="H100" s="3">
        <v>7</v>
      </c>
      <c r="I100" s="7"/>
      <c r="J100" s="3" t="s">
        <v>247</v>
      </c>
      <c r="K100" s="3" t="s">
        <v>251</v>
      </c>
      <c r="L100" s="3" t="s">
        <v>257</v>
      </c>
      <c r="M100" s="6">
        <f t="shared" si="10"/>
        <v>7</v>
      </c>
      <c r="N100" s="4"/>
      <c r="O100" s="4"/>
    </row>
    <row r="101" spans="1:15" x14ac:dyDescent="0.25">
      <c r="A101" s="1" t="s">
        <v>72</v>
      </c>
      <c r="B101" s="3" t="s">
        <v>73</v>
      </c>
      <c r="C101" s="3">
        <v>257</v>
      </c>
      <c r="D101" s="3">
        <v>100</v>
      </c>
      <c r="E101" s="3">
        <f t="shared" si="11"/>
        <v>100</v>
      </c>
      <c r="F101" s="3">
        <f t="shared" si="12"/>
        <v>157</v>
      </c>
      <c r="G101" s="3">
        <f t="shared" si="13"/>
        <v>100</v>
      </c>
      <c r="H101" s="3">
        <v>7</v>
      </c>
      <c r="I101" s="7"/>
      <c r="J101" s="3" t="s">
        <v>247</v>
      </c>
      <c r="K101" s="3" t="s">
        <v>251</v>
      </c>
      <c r="L101" s="3" t="s">
        <v>257</v>
      </c>
      <c r="M101" s="6">
        <f t="shared" si="10"/>
        <v>7</v>
      </c>
      <c r="N101" s="4"/>
      <c r="O101" s="4"/>
    </row>
    <row r="102" spans="1:15" x14ac:dyDescent="0.25">
      <c r="A102" s="1" t="s">
        <v>119</v>
      </c>
      <c r="B102" s="3" t="s">
        <v>120</v>
      </c>
      <c r="C102" s="3">
        <v>256</v>
      </c>
      <c r="D102" s="3">
        <v>101</v>
      </c>
      <c r="E102" s="3">
        <f t="shared" si="11"/>
        <v>101</v>
      </c>
      <c r="F102" s="3">
        <f t="shared" si="12"/>
        <v>155</v>
      </c>
      <c r="G102" s="3">
        <f t="shared" si="13"/>
        <v>101</v>
      </c>
      <c r="H102" s="3">
        <v>7</v>
      </c>
      <c r="I102" s="7"/>
      <c r="J102" s="3" t="s">
        <v>247</v>
      </c>
      <c r="K102" s="3" t="s">
        <v>251</v>
      </c>
      <c r="L102" s="3" t="s">
        <v>257</v>
      </c>
      <c r="M102" s="6">
        <f t="shared" si="10"/>
        <v>7</v>
      </c>
      <c r="N102" s="4"/>
      <c r="O102" s="4"/>
    </row>
    <row r="103" spans="1:15" x14ac:dyDescent="0.25">
      <c r="A103" s="1" t="s">
        <v>136</v>
      </c>
      <c r="B103" s="3" t="s">
        <v>137</v>
      </c>
      <c r="C103" s="3">
        <v>259</v>
      </c>
      <c r="D103" s="3">
        <v>102</v>
      </c>
      <c r="E103" s="3">
        <f t="shared" si="11"/>
        <v>102</v>
      </c>
      <c r="F103" s="3">
        <f t="shared" si="12"/>
        <v>157</v>
      </c>
      <c r="G103" s="3">
        <f t="shared" si="13"/>
        <v>102</v>
      </c>
      <c r="H103" s="3">
        <v>7</v>
      </c>
      <c r="I103" s="7"/>
      <c r="J103" s="3" t="s">
        <v>247</v>
      </c>
      <c r="K103" s="3" t="s">
        <v>251</v>
      </c>
      <c r="L103" s="3" t="s">
        <v>257</v>
      </c>
      <c r="M103" s="6">
        <f t="shared" si="10"/>
        <v>7</v>
      </c>
      <c r="N103" s="4"/>
      <c r="O103" s="4"/>
    </row>
    <row r="104" spans="1:15" x14ac:dyDescent="0.25">
      <c r="A104" s="1" t="s">
        <v>248</v>
      </c>
      <c r="B104" s="3" t="s">
        <v>218</v>
      </c>
      <c r="C104" s="3">
        <v>260</v>
      </c>
      <c r="D104" s="3">
        <v>103</v>
      </c>
      <c r="E104" s="3">
        <f t="shared" si="11"/>
        <v>103</v>
      </c>
      <c r="F104" s="3">
        <f t="shared" si="12"/>
        <v>157</v>
      </c>
      <c r="G104" s="3">
        <f t="shared" si="13"/>
        <v>103</v>
      </c>
      <c r="H104" s="3">
        <v>7</v>
      </c>
      <c r="I104" s="7"/>
      <c r="J104" s="3" t="s">
        <v>247</v>
      </c>
      <c r="K104" s="3" t="s">
        <v>251</v>
      </c>
      <c r="L104" s="3" t="s">
        <v>257</v>
      </c>
      <c r="M104" s="6">
        <f t="shared" si="10"/>
        <v>7</v>
      </c>
      <c r="N104" s="4"/>
      <c r="O104" s="4"/>
    </row>
    <row r="105" spans="1:15" x14ac:dyDescent="0.25">
      <c r="A105" s="1" t="s">
        <v>176</v>
      </c>
      <c r="B105" s="3" t="s">
        <v>177</v>
      </c>
      <c r="C105" s="3">
        <v>261</v>
      </c>
      <c r="D105" s="3">
        <v>104</v>
      </c>
      <c r="E105" s="3">
        <f t="shared" si="11"/>
        <v>104</v>
      </c>
      <c r="F105" s="3">
        <f t="shared" si="12"/>
        <v>157</v>
      </c>
      <c r="G105" s="3">
        <f t="shared" si="13"/>
        <v>104</v>
      </c>
      <c r="H105" s="3">
        <v>7</v>
      </c>
      <c r="I105" s="3">
        <v>4</v>
      </c>
      <c r="J105" s="3" t="s">
        <v>246</v>
      </c>
      <c r="K105" s="3" t="s">
        <v>250</v>
      </c>
      <c r="L105" s="3" t="s">
        <v>257</v>
      </c>
      <c r="M105" s="6">
        <f t="shared" si="10"/>
        <v>7</v>
      </c>
      <c r="N105" s="4"/>
      <c r="O105" s="4"/>
    </row>
    <row r="106" spans="1:15" x14ac:dyDescent="0.25">
      <c r="A106" s="1" t="s">
        <v>60</v>
      </c>
      <c r="B106" s="3" t="s">
        <v>61</v>
      </c>
      <c r="C106" s="3">
        <v>262</v>
      </c>
      <c r="D106" s="3">
        <v>105</v>
      </c>
      <c r="E106" s="3">
        <f t="shared" si="11"/>
        <v>105</v>
      </c>
      <c r="F106" s="3">
        <f t="shared" si="12"/>
        <v>157</v>
      </c>
      <c r="G106" s="3">
        <f t="shared" si="13"/>
        <v>105</v>
      </c>
      <c r="H106" s="3">
        <v>7</v>
      </c>
      <c r="I106" s="3">
        <v>5</v>
      </c>
      <c r="J106" s="3" t="s">
        <v>246</v>
      </c>
      <c r="K106" s="3" t="s">
        <v>250</v>
      </c>
      <c r="L106" s="3" t="s">
        <v>257</v>
      </c>
      <c r="M106" s="6">
        <f t="shared" si="10"/>
        <v>7</v>
      </c>
      <c r="N106" s="4"/>
      <c r="O106" s="4"/>
    </row>
    <row r="107" spans="1:15" x14ac:dyDescent="0.25">
      <c r="A107" s="1" t="s">
        <v>180</v>
      </c>
      <c r="B107" s="3" t="s">
        <v>181</v>
      </c>
      <c r="C107" s="3">
        <v>263</v>
      </c>
      <c r="D107" s="3">
        <v>106</v>
      </c>
      <c r="E107" s="3">
        <f t="shared" si="11"/>
        <v>106</v>
      </c>
      <c r="F107" s="3">
        <f t="shared" si="12"/>
        <v>157</v>
      </c>
      <c r="G107" s="3">
        <f t="shared" si="13"/>
        <v>106</v>
      </c>
      <c r="H107" s="3">
        <v>7</v>
      </c>
      <c r="I107" s="3">
        <v>6</v>
      </c>
      <c r="J107" s="3" t="s">
        <v>246</v>
      </c>
      <c r="K107" s="3" t="s">
        <v>250</v>
      </c>
      <c r="L107" s="3" t="s">
        <v>257</v>
      </c>
      <c r="M107" s="6">
        <f t="shared" si="10"/>
        <v>7</v>
      </c>
      <c r="N107" s="4"/>
      <c r="O107" s="4"/>
    </row>
    <row r="108" spans="1:15" x14ac:dyDescent="0.25">
      <c r="A108" s="1" t="s">
        <v>30</v>
      </c>
      <c r="B108" s="3" t="s">
        <v>31</v>
      </c>
      <c r="C108" s="3">
        <v>262</v>
      </c>
      <c r="D108" s="3">
        <v>107</v>
      </c>
      <c r="E108" s="3">
        <f t="shared" si="11"/>
        <v>107</v>
      </c>
      <c r="F108" s="3">
        <f t="shared" si="12"/>
        <v>155</v>
      </c>
      <c r="G108" s="3">
        <f t="shared" si="13"/>
        <v>107</v>
      </c>
      <c r="H108" s="3">
        <v>7</v>
      </c>
      <c r="I108" s="3">
        <v>7</v>
      </c>
      <c r="J108" s="3" t="s">
        <v>246</v>
      </c>
      <c r="K108" s="3" t="s">
        <v>250</v>
      </c>
      <c r="L108" s="3" t="s">
        <v>257</v>
      </c>
      <c r="M108" s="6">
        <f t="shared" si="10"/>
        <v>7</v>
      </c>
      <c r="N108" s="4"/>
      <c r="O108" s="4"/>
    </row>
    <row r="109" spans="1:15" x14ac:dyDescent="0.25">
      <c r="A109" s="1" t="s">
        <v>88</v>
      </c>
      <c r="B109" s="3" t="s">
        <v>89</v>
      </c>
      <c r="C109" s="3">
        <v>265</v>
      </c>
      <c r="D109" s="3">
        <v>108</v>
      </c>
      <c r="E109" s="3">
        <f t="shared" si="11"/>
        <v>108</v>
      </c>
      <c r="F109" s="3">
        <f t="shared" si="12"/>
        <v>157</v>
      </c>
      <c r="G109" s="3">
        <f t="shared" si="13"/>
        <v>108</v>
      </c>
      <c r="H109" s="3">
        <v>7</v>
      </c>
      <c r="I109" s="3">
        <v>8</v>
      </c>
      <c r="J109" s="3" t="s">
        <v>246</v>
      </c>
      <c r="K109" s="3" t="s">
        <v>250</v>
      </c>
      <c r="L109" s="3" t="s">
        <v>257</v>
      </c>
      <c r="M109" s="6">
        <f t="shared" si="10"/>
        <v>7</v>
      </c>
      <c r="N109" s="4"/>
      <c r="O109" s="4"/>
    </row>
    <row r="110" spans="1:15" x14ac:dyDescent="0.25">
      <c r="A110" s="1" t="s">
        <v>117</v>
      </c>
      <c r="B110" s="3" t="s">
        <v>118</v>
      </c>
      <c r="C110" s="3">
        <v>266</v>
      </c>
      <c r="D110" s="3">
        <v>109</v>
      </c>
      <c r="E110" s="3">
        <f t="shared" si="11"/>
        <v>109</v>
      </c>
      <c r="F110" s="3">
        <f t="shared" si="12"/>
        <v>157</v>
      </c>
      <c r="G110" s="3">
        <f t="shared" si="13"/>
        <v>109</v>
      </c>
      <c r="H110" s="3">
        <v>7</v>
      </c>
      <c r="I110" s="3">
        <v>9</v>
      </c>
      <c r="J110" s="3" t="s">
        <v>246</v>
      </c>
      <c r="K110" s="3" t="s">
        <v>250</v>
      </c>
      <c r="L110" s="3" t="s">
        <v>257</v>
      </c>
      <c r="M110" s="6">
        <f t="shared" si="10"/>
        <v>7</v>
      </c>
      <c r="N110" s="4"/>
      <c r="O110" s="4"/>
    </row>
    <row r="111" spans="1:15" x14ac:dyDescent="0.25">
      <c r="A111" s="1" t="s">
        <v>219</v>
      </c>
      <c r="B111" s="3" t="s">
        <v>220</v>
      </c>
      <c r="C111" s="3">
        <v>269</v>
      </c>
      <c r="D111" s="3">
        <v>110</v>
      </c>
      <c r="E111" s="3">
        <f t="shared" si="11"/>
        <v>110</v>
      </c>
      <c r="F111" s="3">
        <f t="shared" si="12"/>
        <v>159</v>
      </c>
      <c r="G111" s="3">
        <f t="shared" si="13"/>
        <v>110</v>
      </c>
      <c r="H111" s="3">
        <v>7</v>
      </c>
      <c r="I111" s="3">
        <v>10</v>
      </c>
      <c r="J111" s="3" t="s">
        <v>246</v>
      </c>
      <c r="K111" s="3" t="s">
        <v>250</v>
      </c>
      <c r="L111" s="3" t="s">
        <v>257</v>
      </c>
      <c r="M111" s="6">
        <f t="shared" si="10"/>
        <v>7</v>
      </c>
      <c r="N111" s="4"/>
      <c r="O111" s="4"/>
    </row>
    <row r="112" spans="1:15" x14ac:dyDescent="0.25">
      <c r="A112" s="1" t="s">
        <v>221</v>
      </c>
      <c r="B112" s="3" t="s">
        <v>222</v>
      </c>
      <c r="C112" s="3">
        <v>272</v>
      </c>
      <c r="D112" s="3">
        <v>111</v>
      </c>
      <c r="E112" s="3">
        <f t="shared" si="11"/>
        <v>111</v>
      </c>
      <c r="F112" s="3">
        <f t="shared" si="12"/>
        <v>161</v>
      </c>
      <c r="G112" s="3">
        <f t="shared" si="13"/>
        <v>111</v>
      </c>
      <c r="H112" s="3">
        <v>7</v>
      </c>
      <c r="I112" s="3">
        <v>11</v>
      </c>
      <c r="J112" s="3" t="s">
        <v>246</v>
      </c>
      <c r="K112" s="3" t="s">
        <v>250</v>
      </c>
      <c r="L112" s="3" t="s">
        <v>257</v>
      </c>
      <c r="M112" s="6">
        <f t="shared" si="10"/>
        <v>7</v>
      </c>
      <c r="N112" s="4"/>
      <c r="O112" s="4"/>
    </row>
    <row r="113" spans="1:15" x14ac:dyDescent="0.25">
      <c r="A113" s="1" t="s">
        <v>223</v>
      </c>
      <c r="B113" s="3" t="s">
        <v>224</v>
      </c>
      <c r="C113" s="3">
        <v>277</v>
      </c>
      <c r="D113" s="3">
        <v>112</v>
      </c>
      <c r="E113" s="3">
        <f t="shared" si="11"/>
        <v>112</v>
      </c>
      <c r="F113" s="3">
        <f t="shared" si="12"/>
        <v>165</v>
      </c>
      <c r="G113" s="3">
        <f t="shared" si="13"/>
        <v>112</v>
      </c>
      <c r="H113" s="3">
        <v>7</v>
      </c>
      <c r="I113" s="3">
        <v>12</v>
      </c>
      <c r="J113" s="3" t="s">
        <v>246</v>
      </c>
      <c r="K113" s="3" t="s">
        <v>250</v>
      </c>
      <c r="L113" s="3" t="s">
        <v>257</v>
      </c>
      <c r="M113" s="6">
        <f t="shared" si="10"/>
        <v>7</v>
      </c>
      <c r="N113" s="4"/>
      <c r="O113" s="4"/>
    </row>
    <row r="114" spans="1:15" x14ac:dyDescent="0.25">
      <c r="A114" s="1" t="s">
        <v>225</v>
      </c>
      <c r="B114" s="3" t="s">
        <v>226</v>
      </c>
      <c r="C114" s="3"/>
      <c r="D114" s="3">
        <v>113</v>
      </c>
      <c r="E114" s="3">
        <f t="shared" si="11"/>
        <v>113</v>
      </c>
      <c r="F114" s="3"/>
      <c r="G114" s="3">
        <f t="shared" si="13"/>
        <v>113</v>
      </c>
      <c r="H114" s="3">
        <v>7</v>
      </c>
      <c r="I114" s="3">
        <v>13</v>
      </c>
      <c r="J114" s="3" t="s">
        <v>245</v>
      </c>
      <c r="K114" s="3" t="s">
        <v>250</v>
      </c>
      <c r="L114" s="3" t="s">
        <v>257</v>
      </c>
      <c r="M114" s="6">
        <f t="shared" si="10"/>
        <v>7</v>
      </c>
      <c r="N114" s="4"/>
      <c r="O114" s="4"/>
    </row>
    <row r="115" spans="1:15" x14ac:dyDescent="0.25">
      <c r="A115" s="1" t="s">
        <v>228</v>
      </c>
      <c r="B115" s="3" t="s">
        <v>227</v>
      </c>
      <c r="C115" s="3">
        <v>285</v>
      </c>
      <c r="D115" s="3">
        <v>114</v>
      </c>
      <c r="E115" s="3">
        <f t="shared" si="11"/>
        <v>114</v>
      </c>
      <c r="F115" s="3">
        <f>C115-D115</f>
        <v>171</v>
      </c>
      <c r="G115" s="3">
        <f t="shared" si="13"/>
        <v>114</v>
      </c>
      <c r="H115" s="3">
        <v>7</v>
      </c>
      <c r="I115" s="3">
        <v>14</v>
      </c>
      <c r="J115" s="3" t="s">
        <v>245</v>
      </c>
      <c r="K115" s="3" t="s">
        <v>250</v>
      </c>
      <c r="L115" s="3" t="s">
        <v>257</v>
      </c>
      <c r="M115" s="6">
        <f t="shared" si="10"/>
        <v>7</v>
      </c>
      <c r="N115" s="4"/>
      <c r="O115" s="4"/>
    </row>
    <row r="116" spans="1:15" x14ac:dyDescent="0.25">
      <c r="A116" s="1" t="s">
        <v>229</v>
      </c>
      <c r="B116" s="3" t="s">
        <v>230</v>
      </c>
      <c r="C116" s="3"/>
      <c r="D116" s="3">
        <v>115</v>
      </c>
      <c r="E116" s="3">
        <f t="shared" si="11"/>
        <v>115</v>
      </c>
      <c r="F116" s="3"/>
      <c r="G116" s="3">
        <f t="shared" si="13"/>
        <v>115</v>
      </c>
      <c r="H116" s="3">
        <v>7</v>
      </c>
      <c r="I116" s="3">
        <v>15</v>
      </c>
      <c r="J116" s="3" t="s">
        <v>245</v>
      </c>
      <c r="K116" s="3" t="s">
        <v>250</v>
      </c>
      <c r="L116" s="3" t="s">
        <v>257</v>
      </c>
      <c r="M116" s="6">
        <f t="shared" si="10"/>
        <v>7</v>
      </c>
      <c r="N116" s="4"/>
      <c r="O116" s="4"/>
    </row>
    <row r="117" spans="1:15" x14ac:dyDescent="0.25">
      <c r="A117" s="1" t="s">
        <v>231</v>
      </c>
      <c r="B117" s="3" t="s">
        <v>232</v>
      </c>
      <c r="C117" s="3">
        <v>289</v>
      </c>
      <c r="D117" s="3">
        <v>116</v>
      </c>
      <c r="E117" s="3">
        <f t="shared" si="11"/>
        <v>116</v>
      </c>
      <c r="F117" s="3">
        <f>C117-D117</f>
        <v>173</v>
      </c>
      <c r="G117" s="3">
        <f t="shared" si="13"/>
        <v>116</v>
      </c>
      <c r="H117" s="3">
        <v>7</v>
      </c>
      <c r="I117" s="3">
        <v>16</v>
      </c>
      <c r="J117" s="3" t="s">
        <v>245</v>
      </c>
      <c r="K117" s="3" t="s">
        <v>250</v>
      </c>
      <c r="L117" s="3" t="s">
        <v>257</v>
      </c>
      <c r="M117" s="6">
        <f t="shared" si="10"/>
        <v>7</v>
      </c>
      <c r="N117" s="4"/>
      <c r="O117" s="4"/>
    </row>
    <row r="118" spans="1:15" x14ac:dyDescent="0.25">
      <c r="A118" s="1" t="s">
        <v>233</v>
      </c>
      <c r="B118" s="3" t="s">
        <v>234</v>
      </c>
      <c r="C118" s="3"/>
      <c r="D118" s="3">
        <v>117</v>
      </c>
      <c r="E118" s="3">
        <f t="shared" si="11"/>
        <v>117</v>
      </c>
      <c r="F118" s="3"/>
      <c r="G118" s="3">
        <f t="shared" si="13"/>
        <v>117</v>
      </c>
      <c r="H118" s="3">
        <v>7</v>
      </c>
      <c r="I118" s="3">
        <v>17</v>
      </c>
      <c r="J118" s="3" t="s">
        <v>245</v>
      </c>
      <c r="K118" s="3" t="s">
        <v>250</v>
      </c>
      <c r="L118" s="7" t="s">
        <v>4</v>
      </c>
      <c r="M118" s="6">
        <f t="shared" si="10"/>
        <v>7</v>
      </c>
      <c r="N118" s="4"/>
      <c r="O118" s="4"/>
    </row>
    <row r="119" spans="1:15" x14ac:dyDescent="0.25">
      <c r="A119" s="1" t="s">
        <v>235</v>
      </c>
      <c r="B119" s="3" t="s">
        <v>236</v>
      </c>
      <c r="C119" s="3">
        <v>293</v>
      </c>
      <c r="D119" s="3">
        <v>118</v>
      </c>
      <c r="E119" s="3">
        <f t="shared" si="11"/>
        <v>118</v>
      </c>
      <c r="F119" s="3">
        <f>C119-D119</f>
        <v>175</v>
      </c>
      <c r="G119" s="3">
        <f t="shared" si="13"/>
        <v>118</v>
      </c>
      <c r="H119" s="3">
        <v>7</v>
      </c>
      <c r="I119" s="3">
        <v>18</v>
      </c>
      <c r="J119" s="3" t="s">
        <v>245</v>
      </c>
      <c r="K119" s="3" t="s">
        <v>244</v>
      </c>
      <c r="L119" s="7" t="s">
        <v>4</v>
      </c>
      <c r="M119" s="6">
        <f t="shared" si="10"/>
        <v>7</v>
      </c>
      <c r="N119" s="4"/>
      <c r="O119" s="4"/>
    </row>
    <row r="120" spans="1:15" x14ac:dyDescent="0.25">
      <c r="A120" s="1" t="s">
        <v>237</v>
      </c>
      <c r="B120" s="3" t="s">
        <v>239</v>
      </c>
      <c r="C120" s="3"/>
      <c r="D120" s="3">
        <v>119</v>
      </c>
      <c r="E120" s="3">
        <f t="shared" si="11"/>
        <v>119</v>
      </c>
      <c r="F120" s="3"/>
      <c r="G120" s="3">
        <f t="shared" si="13"/>
        <v>119</v>
      </c>
      <c r="H120" s="3">
        <v>8</v>
      </c>
      <c r="I120" s="3">
        <v>1</v>
      </c>
      <c r="J120" s="7"/>
      <c r="K120" s="3" t="s">
        <v>250</v>
      </c>
      <c r="L120" s="3" t="s">
        <v>257</v>
      </c>
      <c r="M120" s="6">
        <f t="shared" si="10"/>
        <v>8</v>
      </c>
      <c r="N120" s="4"/>
      <c r="O120" s="4"/>
    </row>
    <row r="121" spans="1:15" x14ac:dyDescent="0.25">
      <c r="A121" s="1" t="s">
        <v>238</v>
      </c>
      <c r="B121" s="3" t="s">
        <v>240</v>
      </c>
      <c r="C121" s="3"/>
      <c r="D121" s="3">
        <v>120</v>
      </c>
      <c r="E121" s="3">
        <f t="shared" si="11"/>
        <v>120</v>
      </c>
      <c r="F121" s="3"/>
      <c r="G121" s="3">
        <f t="shared" si="13"/>
        <v>120</v>
      </c>
      <c r="H121" s="3">
        <v>8</v>
      </c>
      <c r="I121" s="3">
        <v>2</v>
      </c>
      <c r="J121" s="7"/>
      <c r="K121" s="3" t="s">
        <v>250</v>
      </c>
      <c r="L121" s="3" t="s">
        <v>257</v>
      </c>
      <c r="M121" s="6">
        <f t="shared" si="10"/>
        <v>8</v>
      </c>
      <c r="N121" s="4"/>
      <c r="O121" s="4"/>
    </row>
    <row r="122" spans="1:15" x14ac:dyDescent="0.25">
      <c r="A122" s="1" t="s">
        <v>241</v>
      </c>
      <c r="B122" s="3" t="s">
        <v>242</v>
      </c>
      <c r="C122" s="3"/>
      <c r="D122" s="3">
        <v>121</v>
      </c>
      <c r="E122" s="3">
        <f t="shared" si="11"/>
        <v>121</v>
      </c>
      <c r="F122" s="3"/>
      <c r="G122" s="3">
        <f t="shared" si="13"/>
        <v>121</v>
      </c>
      <c r="H122" s="3">
        <v>8</v>
      </c>
      <c r="I122" s="7"/>
      <c r="J122" s="7"/>
      <c r="K122" s="3" t="s">
        <v>251</v>
      </c>
      <c r="L122" s="3" t="s">
        <v>257</v>
      </c>
      <c r="M122" s="6">
        <f t="shared" si="10"/>
        <v>8</v>
      </c>
      <c r="N122" s="4"/>
      <c r="O122" s="4"/>
    </row>
  </sheetData>
  <sortState xmlns:xlrd2="http://schemas.microsoft.com/office/spreadsheetml/2017/richdata2" ref="A2:G121">
    <sortCondition ref="D2:D121"/>
  </sortState>
  <mergeCells count="122">
    <mergeCell ref="N1:O1"/>
    <mergeCell ref="N15:O15"/>
    <mergeCell ref="N16:O16"/>
    <mergeCell ref="N17:O17"/>
    <mergeCell ref="N18:O18"/>
    <mergeCell ref="N19:O19"/>
    <mergeCell ref="N2:O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25:O25"/>
    <mergeCell ref="N26:O26"/>
    <mergeCell ref="N27:O27"/>
    <mergeCell ref="N28:O28"/>
    <mergeCell ref="N29:O29"/>
    <mergeCell ref="N20:O20"/>
    <mergeCell ref="N21:O21"/>
    <mergeCell ref="N22:O22"/>
    <mergeCell ref="N23:O23"/>
    <mergeCell ref="N24:O24"/>
    <mergeCell ref="N35:O35"/>
    <mergeCell ref="N36:O36"/>
    <mergeCell ref="N37:O37"/>
    <mergeCell ref="N38:O38"/>
    <mergeCell ref="N39:O39"/>
    <mergeCell ref="N30:O30"/>
    <mergeCell ref="N31:O31"/>
    <mergeCell ref="N32:O32"/>
    <mergeCell ref="N33:O33"/>
    <mergeCell ref="N34:O34"/>
    <mergeCell ref="N45:O45"/>
    <mergeCell ref="N46:O46"/>
    <mergeCell ref="N47:O47"/>
    <mergeCell ref="N48:O48"/>
    <mergeCell ref="N49:O49"/>
    <mergeCell ref="N40:O40"/>
    <mergeCell ref="N41:O41"/>
    <mergeCell ref="N42:O42"/>
    <mergeCell ref="N43:O43"/>
    <mergeCell ref="N44:O44"/>
    <mergeCell ref="N55:O55"/>
    <mergeCell ref="N56:O56"/>
    <mergeCell ref="N57:O57"/>
    <mergeCell ref="N58:O58"/>
    <mergeCell ref="N59:O59"/>
    <mergeCell ref="N50:O50"/>
    <mergeCell ref="N51:O51"/>
    <mergeCell ref="N52:O52"/>
    <mergeCell ref="N53:O53"/>
    <mergeCell ref="N54:O54"/>
    <mergeCell ref="N65:O65"/>
    <mergeCell ref="N66:O66"/>
    <mergeCell ref="N67:O67"/>
    <mergeCell ref="N68:O68"/>
    <mergeCell ref="N69:O69"/>
    <mergeCell ref="N60:O60"/>
    <mergeCell ref="N61:O61"/>
    <mergeCell ref="N62:O62"/>
    <mergeCell ref="N63:O63"/>
    <mergeCell ref="N64:O64"/>
    <mergeCell ref="N75:O75"/>
    <mergeCell ref="N76:O76"/>
    <mergeCell ref="N77:O77"/>
    <mergeCell ref="N78:O78"/>
    <mergeCell ref="N79:O79"/>
    <mergeCell ref="N70:O70"/>
    <mergeCell ref="N71:O71"/>
    <mergeCell ref="N72:O72"/>
    <mergeCell ref="N73:O73"/>
    <mergeCell ref="N74:O74"/>
    <mergeCell ref="N85:O85"/>
    <mergeCell ref="N86:O86"/>
    <mergeCell ref="N87:O87"/>
    <mergeCell ref="N88:O88"/>
    <mergeCell ref="N89:O89"/>
    <mergeCell ref="N80:O80"/>
    <mergeCell ref="N81:O81"/>
    <mergeCell ref="N82:O82"/>
    <mergeCell ref="N83:O83"/>
    <mergeCell ref="N84:O84"/>
    <mergeCell ref="N95:O95"/>
    <mergeCell ref="N96:O96"/>
    <mergeCell ref="N97:O97"/>
    <mergeCell ref="N98:O98"/>
    <mergeCell ref="N99:O99"/>
    <mergeCell ref="N90:O90"/>
    <mergeCell ref="N91:O91"/>
    <mergeCell ref="N92:O92"/>
    <mergeCell ref="N93:O93"/>
    <mergeCell ref="N94:O94"/>
    <mergeCell ref="N105:O105"/>
    <mergeCell ref="N106:O106"/>
    <mergeCell ref="N107:O107"/>
    <mergeCell ref="N108:O108"/>
    <mergeCell ref="N109:O109"/>
    <mergeCell ref="N100:O100"/>
    <mergeCell ref="N101:O101"/>
    <mergeCell ref="N102:O102"/>
    <mergeCell ref="N103:O103"/>
    <mergeCell ref="N104:O104"/>
    <mergeCell ref="N120:O120"/>
    <mergeCell ref="N121:O121"/>
    <mergeCell ref="N122:O122"/>
    <mergeCell ref="N115:O115"/>
    <mergeCell ref="N116:O116"/>
    <mergeCell ref="N117:O117"/>
    <mergeCell ref="N118:O118"/>
    <mergeCell ref="N119:O119"/>
    <mergeCell ref="N110:O110"/>
    <mergeCell ref="N111:O111"/>
    <mergeCell ref="N112:O112"/>
    <mergeCell ref="N113:O113"/>
    <mergeCell ref="N114:O114"/>
  </mergeCells>
  <hyperlinks>
    <hyperlink ref="A96" r:id="rId1" display="https://www.lenntech.es/periodica/elementos/am.htm" xr:uid="{4FCE64B5-C5EC-40B0-B9D4-616ACF2AC812}"/>
    <hyperlink ref="A52" r:id="rId2" display="https://www.lenntech.es/periodica/elementos/sb.htm" xr:uid="{B21D9A37-2D8B-49DC-92B3-9CB882F6DC6E}"/>
    <hyperlink ref="A19" r:id="rId3" display="https://www.lenntech.es/periodica/elementos/ar.htm" xr:uid="{4220BDBF-0F75-4FF8-956B-796AEA927824}"/>
    <hyperlink ref="A34" r:id="rId4" display="https://www.lenntech.es/periodica/elementos/as.htm" xr:uid="{13B2D0B2-75D1-400D-8789-E6E05635A1D9}"/>
    <hyperlink ref="A86" r:id="rId5" display="https://www.lenntech.es/periodica/elementos/at.htm" xr:uid="{ED8D6803-46DC-4CFB-85A8-AB3F5BF914BA}"/>
    <hyperlink ref="A17" r:id="rId6" display="https://www.lenntech.es/periodica/elementos/s.htm" xr:uid="{6D4A4B4B-B9F0-445A-BD51-0F86C482AE72}"/>
    <hyperlink ref="A37" r:id="rId7" display="https://www.lenntech.es/periodica/elementos/ba.htm" xr:uid="{C156F9E3-606F-4B57-9FF0-1E1F8C727F99}"/>
    <hyperlink ref="A5" r:id="rId8" display="https://www.lenntech.es/periodica/elementos/be.htm" xr:uid="{A26B9582-90DD-4EFD-9447-067FEABB8B4F}"/>
    <hyperlink ref="A98" r:id="rId9" display="https://www.lenntech.es/periodica/elementos/bk.htm" xr:uid="{ADA61C98-0EC4-41F3-B55D-32FE5CF1EB7D}"/>
    <hyperlink ref="A84" r:id="rId10" display="https://www.lenntech.es/periodica/elementos/bi.htm" xr:uid="{8AD089B6-343F-4A43-B664-002E685C66AC}"/>
    <hyperlink ref="A108" r:id="rId11" display="https://www.lenntech.es/periodica/elementos/bh.htm" xr:uid="{8C06CEFD-D512-42FE-8374-D094DEE82803}"/>
    <hyperlink ref="A6" r:id="rId12" display="https://www.lenntech.es/periodica/elementos/b.htm" xr:uid="{D88E7A21-3E97-4782-9CC6-8ED3E34EA4AA}"/>
    <hyperlink ref="A36" r:id="rId13" display="https://www.lenntech.es/periodica/elementos/br.htm" xr:uid="{07F05944-38FD-4A93-8381-9997CBE75BAB}"/>
    <hyperlink ref="A49" r:id="rId14" display="https://www.lenntech.es/periodica/elementos/cd.htm" xr:uid="{7018F13E-7853-439E-8FB2-CF03F3CD0065}"/>
    <hyperlink ref="A21" r:id="rId15" display="https://www.lenntech.es/periodica/elementos/ca.htm" xr:uid="{4020E0BE-9CCC-45ED-A5E1-395C45FB5538}"/>
    <hyperlink ref="A99" r:id="rId16" display="https://www.lenntech.es/periodica/elementos/cf.htm" xr:uid="{4CE037FF-B1DE-4920-B4A2-EC529A6062E8}"/>
    <hyperlink ref="A7" r:id="rId17" display="https://www.lenntech.es/periodica/elementos/c.htm" xr:uid="{730283FC-597F-4C7D-9443-5DF95412D022}"/>
    <hyperlink ref="A59" r:id="rId18" display="https://www.lenntech.es/periodica/elementos/ce.htm" xr:uid="{0439A0BC-8AA9-4CB4-BA72-35D3E30CFCC0}"/>
    <hyperlink ref="A56" r:id="rId19" display="https://www.lenntech.es/periodica/elementos/cs.htm" xr:uid="{922F5E68-6622-464A-BD9A-F4F64C50BAE1}"/>
    <hyperlink ref="A28" r:id="rId20" display="https://www.lenntech.es/periodica/elementos/co.htm" xr:uid="{AC6C7790-3D77-4658-AAD5-893788D0B34A}"/>
    <hyperlink ref="A30" r:id="rId21" display="https://www.lenntech.es/periodica/elementos/cu.htm" xr:uid="{951CAED7-6B6C-4E8B-B911-093133E10259}"/>
    <hyperlink ref="A25" r:id="rId22" display="https://www.lenntech.es/periodica/elementos/cr.htm" xr:uid="{F5FD3D48-6CC1-4758-A921-77E9936DAA2D}"/>
    <hyperlink ref="A97" r:id="rId23" display="https://www.lenntech.es/periodica/elementos/cm.htm" xr:uid="{D9E7E320-92D7-459B-93C0-B9DDE005511B}"/>
    <hyperlink ref="A67" r:id="rId24" display="https://www.lenntech.es/periodica/elementos/dy.htm" xr:uid="{5AE390A8-0613-4F40-8EDF-581400876636}"/>
    <hyperlink ref="A106" r:id="rId25" display="https://www.lenntech.es/periodica/elementos/db.htm" xr:uid="{71A18A59-DEBB-42D7-8806-68A6A067E7A4}"/>
    <hyperlink ref="A100" r:id="rId26" display="https://www.lenntech.es/periodica/elementos/er.htm" xr:uid="{C796F324-4F9F-4E5D-BB41-BD33451E0FB9}"/>
    <hyperlink ref="A69" r:id="rId27" display="https://www.lenntech.es/periodica/elementos/sc.htm" xr:uid="{53E2A095-499C-4373-9130-26B0C30166F5}"/>
    <hyperlink ref="A51" r:id="rId28" display="https://www.lenntech.es/periodica/elementos/sn.htm" xr:uid="{DCA0452E-4C31-4E9B-8FE3-9C780DD9E1FC}"/>
    <hyperlink ref="A39" r:id="rId29" display="https://www.lenntech.es/periodica/elementos/sr.htm" xr:uid="{531AEA42-A3BB-4061-BDA1-C652FA85B94A}"/>
    <hyperlink ref="A64" r:id="rId30" display="https://www.lenntech.es/periodica/elementos/eu.htm" xr:uid="{F3A4FF77-760E-4AF6-924F-B76A7CCC6F20}"/>
    <hyperlink ref="A101" r:id="rId31" display="https://www.lenntech.es/periodica/elementos/fm.htm" xr:uid="{11203AAF-85FC-4EA1-8AA6-E30A4380B720}"/>
    <hyperlink ref="A10" r:id="rId32" display="https://www.lenntech.es/periodica/elementos/f.htm" xr:uid="{55AFAE81-F097-4FE6-9595-B0471FFFE5C9}"/>
    <hyperlink ref="A16" r:id="rId33" display="https://www.lenntech.es/periodica/elementos/p.htm" xr:uid="{A7D9562E-7CE2-4B71-806E-77D8AC0CF005}"/>
    <hyperlink ref="A88" r:id="rId34" display="https://www.lenntech.es/periodica/elementos/fr.htm" xr:uid="{AC22EFF5-F508-4F28-8D6B-4CC19105FD2C}"/>
    <hyperlink ref="A65" r:id="rId35" display="https://www.lenntech.es/periodica/elementos/gd.htm" xr:uid="{0F416836-40C7-4C79-B001-4F3C46AD1040}"/>
    <hyperlink ref="A32" r:id="rId36" display="https://www.lenntech.es/periodica/elementos/ga.htm" xr:uid="{DAD67B44-D129-4F37-A117-E01E10FA6A1E}"/>
    <hyperlink ref="A33" r:id="rId37" display="https://www.lenntech.es/periodica/elementos/ge.htm" xr:uid="{979A5A4B-0E4A-4D83-8A4E-588D7554EF33}"/>
    <hyperlink ref="A73" r:id="rId38" display="https://www.lenntech.es/periodica/elementos/hf.htm" xr:uid="{DBA1F957-B385-4D11-B63C-9122655C935B}"/>
    <hyperlink ref="A109" r:id="rId39" display="https://www.lenntech.es/periodica/elementos/hs.htm" xr:uid="{A2176520-3D03-4A18-A82E-0F34F65F6262}"/>
    <hyperlink ref="A3" r:id="rId40" display="https://www.lenntech.es/periodica/elementos/he.htm" xr:uid="{694DCE7A-4353-40AA-9208-DC41FB2669DB}"/>
    <hyperlink ref="A2" r:id="rId41" display="https://www.lenntech.es/periodica/elementos/h.htm" xr:uid="{C053530D-D6A7-4250-94D9-4A07027E6874}"/>
    <hyperlink ref="A27" r:id="rId42" display="https://www.lenntech.es/periodica/elementos/fe.htm" xr:uid="{EAF03906-5F12-4D5C-ACD6-BFBC5380F5CE}"/>
    <hyperlink ref="A68" r:id="rId43" display="https://www.lenntech.es/periodica/elementos/ho.htm" xr:uid="{55ACC52A-FCF6-4356-882A-217AE162400B}"/>
    <hyperlink ref="A50" r:id="rId44" display="https://www.lenntech.es/periodica/elementos/in.htm" xr:uid="{540E5FF1-42C2-4599-9974-70ED276294DE}"/>
    <hyperlink ref="A54" r:id="rId45" display="https://www.lenntech.es/periodica/elementos/i.htm" xr:uid="{3BD576B0-85E4-41A6-9E94-A4FDAAC31D37}"/>
    <hyperlink ref="A78" r:id="rId46" display="https://www.lenntech.es/periodica/elementos/ir.htm" xr:uid="{901F0CD5-6A74-4A57-A09D-E7E3F986E4C7}"/>
    <hyperlink ref="A71" r:id="rId47" display="https://www.lenntech.es/periodica/elementos/yb.htm" xr:uid="{A16ACE7D-A376-46C4-BEB7-1EB2D19AAFC5}"/>
    <hyperlink ref="A40" r:id="rId48" display="https://www.lenntech.es/periodica/elementos/y.htm" xr:uid="{3242190A-BE4C-4C60-B7A2-61547781209D}"/>
    <hyperlink ref="A58" r:id="rId49" display="https://www.lenntech.es/periodica/elementos/la.htm" xr:uid="{6B956028-8EC1-48A0-8D3D-3BDF9FA9B362}"/>
    <hyperlink ref="A104" r:id="rId50" display="https://www.lenntech.es/periodica/elementos/lr.htm" xr:uid="{E5A5244E-CB02-477A-BF5F-80ED16E5DD66}"/>
    <hyperlink ref="A4" r:id="rId51" display="https://www.lenntech.es/periodica/elementos/li.htm" xr:uid="{DE921E5D-5743-4029-A571-C72145CB2821}"/>
    <hyperlink ref="A72" r:id="rId52" display="https://www.lenntech.es/periodica/elementos/lu.htm" xr:uid="{F60DD24A-0456-4713-AE48-36F7862D364F}"/>
    <hyperlink ref="A13" r:id="rId53" display="https://www.lenntech.es/periodica/elementos/mg.htm" xr:uid="{FD6229C3-CAF2-4ECE-961F-AADBB2E6C483}"/>
    <hyperlink ref="A26" r:id="rId54" display="https://www.lenntech.es/periodica/elementos/mn.htm" xr:uid="{8E29660E-74F9-4D64-9E9A-27315448565C}"/>
    <hyperlink ref="A110" r:id="rId55" display="https://www.lenntech.es/periodica/elementos/mt.htm" xr:uid="{BF4353AA-07C0-49FF-8B76-DF802A599622}"/>
    <hyperlink ref="A102" r:id="rId56" display="https://www.lenntech.es/periodica/elementos/md.htm" xr:uid="{FDB58C78-CEF7-4289-BA92-37E2ADA9C1D1}"/>
    <hyperlink ref="A81" r:id="rId57" display="https://www.lenntech.es/periodica/elementos/hg.htm" xr:uid="{EC4D830B-10EF-4BE3-9A1A-40EBFC570C9D}"/>
    <hyperlink ref="A43" r:id="rId58" display="https://www.lenntech.es/periodica/elementos/mo.htm" xr:uid="{345CA6CB-BF8C-478F-9E8F-5262EA94FF19}"/>
    <hyperlink ref="A61" r:id="rId59" display="https://www.lenntech.es/periodica/elementos/nd.htm" xr:uid="{579197AA-F1CB-41DC-A938-768A7D7BADD3}"/>
    <hyperlink ref="A11" r:id="rId60" display="https://www.lenntech.es/periodica/elementos/ne.htm" xr:uid="{164C7987-E10D-4CFC-8D0C-094AECF9C0E9}"/>
    <hyperlink ref="A94" r:id="rId61" display="https://www.lenntech.es/periodica/elementos/p.htm" xr:uid="{715BFE30-4644-4FD9-8A48-361DB9618A53}"/>
    <hyperlink ref="A42" r:id="rId62" display="https://www.lenntech.es/periodica/elementos/nb.htm" xr:uid="{09BA457D-BEA0-4BCE-9CDA-16F2DDC46AAF}"/>
    <hyperlink ref="A29" r:id="rId63" display="https://www.lenntech.es/periodica/elementos/ni.htm" xr:uid="{AB082B66-3930-4A85-8E49-82205E0D49D7}"/>
    <hyperlink ref="A8" r:id="rId64" display="https://www.lenntech.es/periodica/elementos/n.htm" xr:uid="{2DBACB1C-F8A5-4629-9845-CB3DF34FEDF2}"/>
    <hyperlink ref="A103" r:id="rId65" display="https://www.lenntech.es/periodica/elementos/no.htm" xr:uid="{D64AB087-7FD8-465D-84FB-E9008112A114}"/>
    <hyperlink ref="A80" r:id="rId66" display="https://www.lenntech.es/periodica/elementos/au.htm" xr:uid="{4CB1CCAA-A685-49ED-AE60-0C9AB5ACC70F}"/>
    <hyperlink ref="A77" r:id="rId67" display="https://www.lenntech.es/periodica/elementos/os.htm" xr:uid="{384E1ECC-605A-4B49-B2C0-3E392960C92A}"/>
    <hyperlink ref="A9" r:id="rId68" display="https://www.lenntech.es/periodica/elementos/o.htm" xr:uid="{6FF1F5FB-FFEA-4936-A0C9-B8AB309C0E06}"/>
    <hyperlink ref="A47" r:id="rId69" display="https://www.lenntech.es/periodica/elementos/pd.htm" xr:uid="{DBA9929C-13EC-474F-A748-624577398D63}"/>
    <hyperlink ref="A48" r:id="rId70" display="https://www.lenntech.es/periodica/elementos/ag.htm" xr:uid="{D69B82CC-73B3-409C-AF38-ECDEF5C0DCA5}"/>
    <hyperlink ref="A79" r:id="rId71" display="https://www.lenntech.es/periodica/elementos/pt.htm" xr:uid="{3072460A-78EA-4CB4-9EAB-98F9EF4417A7}"/>
    <hyperlink ref="A83" r:id="rId72" display="https://www.lenntech.es/periodica/elementos/pb.htm" xr:uid="{01CE6A54-AE30-4851-A548-190B7B9F00A7}"/>
    <hyperlink ref="A95" r:id="rId73" display="https://www.lenntech.es/periodica/elementos/pu.htm" xr:uid="{120781F5-99AF-4B27-A2D1-265183742052}"/>
    <hyperlink ref="A85" r:id="rId74" display="https://www.lenntech.es/periodica/elementos/po.htm" xr:uid="{C973D2F9-240D-4DA6-8936-6498DDA39A58}"/>
    <hyperlink ref="A20" r:id="rId75" display="https://www.lenntech.es/periodica/elementos/k.htm" xr:uid="{DBCD2C4C-E4CA-463F-BDE1-A29B5F5394C1}"/>
    <hyperlink ref="A60" r:id="rId76" display="https://www.lenntech.es/periodica/elementos/pr.htm" xr:uid="{13590EA2-7C53-404C-A1E2-3B4747BB7FD3}"/>
    <hyperlink ref="A62" r:id="rId77" display="https://www.lenntech.es/periodica/elementos/pm.htm" xr:uid="{CF75F7EA-9BC3-423F-84E7-D371BADB9749}"/>
    <hyperlink ref="A92" r:id="rId78" display="https://www.lenntech.es/periodica/elementos/pa.htm" xr:uid="{3D3CD7AD-828C-4358-A239-3D2E34B55C3D}"/>
    <hyperlink ref="A89" r:id="rId79" display="https://www.lenntech.es/periodica/elementos/ra.htm" xr:uid="{FE6A21F0-446D-4D71-A9C3-5B83AEF39908}"/>
    <hyperlink ref="A87" r:id="rId80" display="https://www.lenntech.es/periodica/elementos/rn.htm" xr:uid="{7AD978F4-B976-4FD1-83A4-270D76C67A45}"/>
    <hyperlink ref="A76" r:id="rId81" display="https://www.lenntech.es/periodica/elementos/re.htm" xr:uid="{76C84C0F-F2AC-436A-AB31-3D011555759D}"/>
    <hyperlink ref="A46" r:id="rId82" display="https://www.lenntech.es/periodica/elementos/rh.htm" xr:uid="{624B416E-5250-45BD-A379-E43163F4A569}"/>
    <hyperlink ref="A38" r:id="rId83" display="https://www.lenntech.es/periodica/elementos/rb.htm" xr:uid="{5A5AC402-4C90-4823-AD8F-6E06CE29AD2A}"/>
    <hyperlink ref="A45" r:id="rId84" display="https://www.lenntech.es/periodica/elementos/ru.htm" xr:uid="{C0325593-E15E-4E9E-8C21-B3341491D714}"/>
    <hyperlink ref="A105" r:id="rId85" display="https://www.lenntech.es/periodica/elementos/rf.htm" xr:uid="{8214E228-EBB1-4969-AF78-D3BCF0697429}"/>
    <hyperlink ref="A63" r:id="rId86" display="https://www.lenntech.es/periodica/elementos/sm.htm" xr:uid="{3F9EE973-35BC-4C96-B6BC-A2D01E6D80CB}"/>
    <hyperlink ref="A107" r:id="rId87" display="https://www.lenntech.es/periodica/elementos/sg.htm" xr:uid="{DA9F3D05-C80E-40B2-ABF8-076F812DD2E7}"/>
    <hyperlink ref="A35" r:id="rId88" display="https://www.lenntech.es/periodica/elementos/se.htm" xr:uid="{E6D04047-28B9-4537-BB0C-EA26B4687B78}"/>
    <hyperlink ref="A12" r:id="rId89" display="https://www.lenntech.es/periodica/elementos/na.htm" xr:uid="{3E0D3A49-CECE-43E8-A1ED-2A075A35340F}"/>
    <hyperlink ref="A82" r:id="rId90" display="https://www.lenntech.es/periodica/elementos/tl.htm" xr:uid="{36849F4A-CADD-48B0-98CD-77A19E900D01}"/>
    <hyperlink ref="A74" r:id="rId91" display="https://www.lenntech.es/periodica/elementos/ta.htm" xr:uid="{B0951D29-C0F1-4256-BB0C-3E77045F0E24}"/>
    <hyperlink ref="A44" r:id="rId92" display="https://www.lenntech.es/periodica/elementos/tc.htm" xr:uid="{ADEAE4AA-C456-4F36-9F0F-C882C73654C5}"/>
    <hyperlink ref="A53" r:id="rId93" display="https://www.lenntech.es/periodica/elementos/te.htm" xr:uid="{935FCB2B-7960-47EC-AD25-B06D33104120}"/>
    <hyperlink ref="A66" r:id="rId94" display="https://www.lenntech.es/periodica/elementos/tb.htm" xr:uid="{7D929E01-6F78-43F6-A2BB-0395699327FC}"/>
    <hyperlink ref="A23" r:id="rId95" display="https://www.lenntech.es/periodica/elementos/ti.htm" xr:uid="{0FE3B1B9-2F50-45A3-AF27-17F5FB090A4D}"/>
    <hyperlink ref="A91" r:id="rId96" display="https://www.lenntech.es/periodica/elementos/th.htm" xr:uid="{B651827C-3CFA-4C48-804C-F7DD1C628A74}"/>
    <hyperlink ref="A70" r:id="rId97" display="https://www.lenntech.es/periodica/elementos/tm.htm" xr:uid="{51689DB2-FDE4-47FE-B75B-BB6B7EC0705A}"/>
    <hyperlink ref="A93" r:id="rId98" display="https://www.lenntech.es/periodica/elementos/u.htm" xr:uid="{960C48FC-53D7-411A-BE1D-5AA9DE007720}"/>
    <hyperlink ref="A24" r:id="rId99" display="https://www.lenntech.es/periodica/elementos/v.htm" xr:uid="{BB01B6AC-F8F6-470A-B374-E94E2BEA9319}"/>
    <hyperlink ref="A75" r:id="rId100" display="https://www.lenntech.es/periodica/elementos/w.htm" xr:uid="{20665371-AEA3-4C30-97E5-C4ACD79608D9}"/>
    <hyperlink ref="A55" r:id="rId101" display="https://www.lenntech.es/periodica/elementos/xe.htm" xr:uid="{0B0D8D80-66BA-42D0-A42F-E15D3489D4B9}"/>
    <hyperlink ref="A31" r:id="rId102" display="https://www.lenntech.es/periodica/elementos/zn.htm" xr:uid="{2AB51587-0503-4906-B925-AF1E5AE6AB32}"/>
    <hyperlink ref="A41" r:id="rId103" display="https://www.lenntech.es/periodica/elementos/zr.htm" xr:uid="{C7DC9CD3-0BB3-47E2-AEB9-1ADBD0B9CBC7}"/>
  </hyperlinks>
  <pageMargins left="0.7" right="0.7" top="0.75" bottom="0.75" header="0.3" footer="0.3"/>
  <pageSetup paperSize="9" orientation="portrait" verticalDpi="0" r:id="rId1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cp:lastPrinted>2023-04-14T00:14:51Z</cp:lastPrinted>
  <dcterms:created xsi:type="dcterms:W3CDTF">2023-04-11T21:49:59Z</dcterms:created>
  <dcterms:modified xsi:type="dcterms:W3CDTF">2023-04-14T00:14:54Z</dcterms:modified>
</cp:coreProperties>
</file>